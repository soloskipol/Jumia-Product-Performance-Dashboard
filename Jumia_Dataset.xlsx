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8_{D20229BD-38A3-4C1C-ACB7-67007F6E4319}" xr6:coauthVersionLast="47" xr6:coauthVersionMax="47" xr10:uidLastSave="{00000000-0000-0000-0000-000000000000}"/>
  <bookViews>
    <workbookView xWindow="28680" yWindow="-120" windowWidth="29040" windowHeight="15720" xr2:uid="{9D693CAF-AD09-4AAE-8E90-A4C1185BD905}"/>
  </bookViews>
  <sheets>
    <sheet name="Excel_jumia_dataset" sheetId="1" r:id="rId1"/>
    <sheet name="Dashboard" sheetId="2" r:id="rId2"/>
  </sheets>
  <definedNames>
    <definedName name="_xlnm._FilterDatabase" localSheetId="0" hidden="1">Excel_jumia_dataset!$X$1:$X$7</definedName>
    <definedName name="Slicer_Discount_Category">#N/A</definedName>
    <definedName name="Slicer_Ratings_performance">#N/A</definedName>
  </definedNames>
  <calcPr calcId="191029"/>
  <pivotCaches>
    <pivotCache cacheId="31" r:id="rId3"/>
  </pivotCaches>
  <fileRecoveryPr repairLoad="1"/>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2" i="1" l="1"/>
  <c r="O11" i="1"/>
  <c r="O7" i="1"/>
  <c r="O6" i="1"/>
  <c r="O5" i="1"/>
  <c r="O4" i="1"/>
  <c r="X3" i="1"/>
  <c r="O3" i="1"/>
  <c r="X2" i="1"/>
  <c r="O2" i="1"/>
</calcChain>
</file>

<file path=xl/sharedStrings.xml><?xml version="1.0" encoding="utf-8"?>
<sst xmlns="http://schemas.openxmlformats.org/spreadsheetml/2006/main" count="431" uniqueCount="152">
  <si>
    <t>Product</t>
  </si>
  <si>
    <t>Current price</t>
  </si>
  <si>
    <t>Old price</t>
  </si>
  <si>
    <t>Absolute discount</t>
  </si>
  <si>
    <t>Discount</t>
  </si>
  <si>
    <t>Review</t>
  </si>
  <si>
    <t>Ratings</t>
  </si>
  <si>
    <t>Ratings_performance</t>
  </si>
  <si>
    <t>Discount Category</t>
  </si>
  <si>
    <t>115  Piece Set Of Multifunctional Precision Screwdrivers</t>
  </si>
  <si>
    <t>Excellent</t>
  </si>
  <si>
    <t>Medium Discount</t>
  </si>
  <si>
    <t>Metal Decorative Hooks Key Hangers Entryway Wall Hooks Towel Hooks - Home</t>
  </si>
  <si>
    <t>Average</t>
  </si>
  <si>
    <t>High Discount</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</si>
  <si>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</si>
  <si>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</si>
  <si>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</si>
  <si>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</si>
  <si>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</si>
  <si>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</si>
  <si>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</si>
  <si>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</si>
  <si>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</si>
  <si>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</si>
  <si>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</si>
  <si>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</si>
  <si>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</si>
  <si>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</si>
  <si>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</si>
  <si>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</si>
  <si>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</si>
  <si>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</si>
  <si>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</si>
  <si>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</si>
  <si>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No Rating</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</si>
  <si>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</si>
  <si>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</si>
  <si>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</si>
  <si>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</si>
  <si>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</si>
  <si>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</si>
  <si>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</si>
  <si>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</si>
  <si>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</si>
  <si>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</si>
  <si>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</si>
  <si>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</si>
  <si>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</si>
  <si>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</si>
  <si>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</si>
  <si>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</si>
  <si>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3 Seater Elastic Sofa Cover,Living Room/Home Decor Chair Cover-Grey</t>
  </si>
  <si>
    <t>1/2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</si>
  <si>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</si>
  <si>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</si>
  <si>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</si>
  <si>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</si>
  <si>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</si>
  <si>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</si>
  <si>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</si>
  <si>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</si>
  <si>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</si>
  <si>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</si>
  <si>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</si>
  <si>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</si>
  <si>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</si>
  <si>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</si>
  <si>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</si>
  <si>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</si>
  <si>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</si>
  <si>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</si>
  <si>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</si>
  <si>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</si>
  <si>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Poor</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</si>
  <si>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</si>
  <si>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</si>
  <si>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</si>
  <si>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</si>
  <si>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</si>
  <si>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</si>
  <si>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</si>
  <si>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</si>
  <si>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</si>
  <si>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</si>
  <si>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</si>
  <si>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</si>
  <si>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</si>
  <si>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</si>
  <si>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</si>
  <si>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</si>
  <si>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</si>
  <si>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</si>
  <si>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</si>
  <si>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</si>
  <si>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</si>
  <si>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</si>
  <si>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</si>
  <si>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</si>
  <si>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</si>
  <si>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</si>
  <si>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</si>
  <si>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</si>
  <si>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</si>
  <si>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</si>
  <si>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</si>
  <si>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</si>
  <si>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</si>
  <si>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</si>
  <si>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</si>
  <si>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</si>
  <si>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</si>
  <si>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</si>
  <si>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</si>
  <si>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</si>
  <si>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</si>
  <si>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</si>
  <si>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</si>
  <si>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</si>
  <si>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</si>
  <si>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</si>
  <si>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</si>
  <si>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</si>
  <si>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</si>
  <si>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</si>
  <si>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ANALYSIS</t>
  </si>
  <si>
    <t>Average current_price</t>
  </si>
  <si>
    <t>Average old_price</t>
  </si>
  <si>
    <t>Average_discount</t>
  </si>
  <si>
    <t>Average_ratings</t>
  </si>
  <si>
    <t>Most_expensive_product</t>
  </si>
  <si>
    <t>Least_expensive_product</t>
  </si>
  <si>
    <t>Trend Analysis</t>
  </si>
  <si>
    <t>percentage and number of reviews.</t>
  </si>
  <si>
    <t>rating and number of reviews</t>
  </si>
  <si>
    <t>There is a very weak negative correlation; therefore, the discount has an almost negligible impact on the number of reviews</t>
  </si>
  <si>
    <t>There is no statistical relationship between the ratings and the number of reviews, Higher ratings do not lead to more reviews</t>
  </si>
  <si>
    <t>Top 10 products with the highest discounts</t>
  </si>
  <si>
    <t>Top 5 products with the lowest ratings.</t>
  </si>
  <si>
    <t xml:space="preserve">Top 5 products with the highest ratings </t>
  </si>
  <si>
    <t>Top 10 products with the most reviews.</t>
  </si>
  <si>
    <t>Performance of products with high discounts versus low discounts</t>
  </si>
  <si>
    <t>Grand Total</t>
  </si>
  <si>
    <t>Low Discount</t>
  </si>
  <si>
    <t xml:space="preserve">Ratings </t>
  </si>
  <si>
    <t xml:space="preserve">Reviews </t>
  </si>
  <si>
    <t xml:space="preserve">Discount </t>
  </si>
  <si>
    <t>Product_Name</t>
  </si>
  <si>
    <t>Count of Product</t>
  </si>
  <si>
    <t xml:space="preserve">Rating </t>
  </si>
  <si>
    <t xml:space="preserve">Review  </t>
  </si>
  <si>
    <t>Ratings_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</si>
</sst>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2" x14ac:knownFonts="1">
    <font>
      <sz val="11"/>
      <color theme="1"/>
      <name val="Cambria"/>
      <family val="2"/>
    </font>
    <font>
      <sz val="11"/>
      <color theme="1"/>
      <name val="Cambria"/>
      <family val="2"/>
    </font>
    <font>
      <sz val="18"/>
      <color theme="3"/>
      <name val="Calibri Light"/>
      <family val="2"/>
      <scheme val="major"/>
    </font>
    <font>
      <b/>
      <sz val="15"/>
      <color theme="3"/>
      <name val="Cambria"/>
      <family val="2"/>
    </font>
    <font>
      <b/>
      <sz val="13"/>
      <color theme="3"/>
      <name val="Cambria"/>
      <family val="2"/>
    </font>
    <font>
      <b/>
      <sz val="11"/>
      <color theme="3"/>
      <name val="Cambria"/>
      <family val="2"/>
    </font>
    <font>
      <sz val="11"/>
      <color rgb="FF006100"/>
      <name val="Cambria"/>
      <family val="2"/>
    </font>
    <font>
      <sz val="11"/>
      <color rgb="FF9C0006"/>
      <name val="Cambria"/>
      <family val="2"/>
    </font>
    <font>
      <sz val="11"/>
      <color rgb="FF9C5700"/>
      <name val="Cambria"/>
      <family val="2"/>
    </font>
    <font>
      <sz val="11"/>
      <color rgb="FF3F3F76"/>
      <name val="Cambria"/>
      <family val="2"/>
    </font>
    <font>
      <b/>
      <sz val="11"/>
      <color rgb="FF3F3F3F"/>
      <name val="Cambria"/>
      <family val="2"/>
    </font>
    <font>
      <b/>
      <sz val="11"/>
      <color rgb="FFFA7D00"/>
      <name val="Cambria"/>
      <family val="2"/>
    </font>
    <font>
      <sz val="11"/>
      <color rgb="FFFA7D00"/>
      <name val="Cambria"/>
      <family val="2"/>
    </font>
    <font>
      <b/>
      <sz val="11"/>
      <color theme="0"/>
      <name val="Cambria"/>
      <family val="2"/>
    </font>
    <font>
      <sz val="11"/>
      <color rgb="FFFF0000"/>
      <name val="Cambria"/>
      <family val="2"/>
    </font>
    <font>
      <i/>
      <sz val="11"/>
      <color rgb="FF7F7F7F"/>
      <name val="Cambria"/>
      <family val="2"/>
    </font>
    <font>
      <b/>
      <sz val="11"/>
      <color theme="1"/>
      <name val="Cambria"/>
      <family val="2"/>
    </font>
    <font>
      <sz val="11"/>
      <color theme="0"/>
      <name val="Cambria"/>
      <family val="2"/>
    </font>
    <font>
      <b/>
      <sz val="11"/>
      <color rgb="FF006100"/>
      <name val="Cambria"/>
      <family val="1"/>
    </font>
    <font>
      <sz val="11"/>
      <color theme="1"/>
      <name val="Cambria"/>
      <family val="1"/>
    </font>
    <font>
      <sz val="12"/>
      <color theme="1"/>
      <name val="Cambria"/>
      <family val="2"/>
    </font>
    <font>
      <sz val="8"/>
      <name val="Cambri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2">
    <xf numFmtId="0" fontId="0" fillId="0" borderId="0" xfId="0"/>
    <xf numFmtId="9" fontId="0" fillId="0" borderId="0" xfId="0" applyNumberFormat="1"/>
    <xf numFmtId="2" fontId="0" fillId="0" borderId="0" xfId="0" applyNumberFormat="1"/>
    <xf numFmtId="1" fontId="0" fillId="0" borderId="0" xfId="0" applyNumberFormat="1"/>
    <xf numFmtId="0" fontId="0" fillId="0" borderId="10" xfId="0" applyBorder="1"/>
    <xf numFmtId="2" fontId="0" fillId="0" borderId="10" xfId="0" applyNumberFormat="1" applyBorder="1"/>
    <xf numFmtId="164" fontId="0" fillId="0" borderId="0" xfId="0" applyNumberFormat="1"/>
    <xf numFmtId="9" fontId="0" fillId="0" borderId="10" xfId="42" applyFont="1" applyBorder="1"/>
    <xf numFmtId="9" fontId="19" fillId="0" borderId="0" xfId="42" applyFont="1"/>
    <xf numFmtId="0" fontId="19" fillId="0" borderId="0" xfId="0" applyFont="1"/>
    <xf numFmtId="0" fontId="0" fillId="0" borderId="0" xfId="0" pivotButton="1"/>
    <xf numFmtId="0" fontId="0" fillId="0" borderId="0" xfId="0" applyAlignment="1">
      <alignment horizontal="left"/>
    </xf>
    <xf numFmtId="0" fontId="0" fillId="0" borderId="0" xfId="0" applyAlignment="1">
      <alignment wrapText="1"/>
    </xf>
    <xf numFmtId="0" fontId="19" fillId="0" borderId="11" xfId="0" applyFont="1" applyBorder="1"/>
    <xf numFmtId="0" fontId="19" fillId="0" borderId="12" xfId="0" applyFont="1" applyBorder="1"/>
    <xf numFmtId="0" fontId="19" fillId="0" borderId="13" xfId="0" applyFont="1" applyBorder="1"/>
    <xf numFmtId="0" fontId="18" fillId="2" borderId="0" xfId="6" applyFont="1" applyAlignment="1">
      <alignment horizontal="center"/>
    </xf>
    <xf numFmtId="0" fontId="0" fillId="0" borderId="10" xfId="0" applyBorder="1"/>
    <xf numFmtId="0" fontId="18" fillId="2" borderId="0" xfId="6" applyFont="1" applyAlignment="1">
      <alignment horizontal="center" vertical="center"/>
    </xf>
    <xf numFmtId="0" fontId="18" fillId="2" borderId="11" xfId="6" applyFont="1" applyBorder="1" applyAlignment="1">
      <alignment horizontal="center"/>
    </xf>
    <xf numFmtId="0" fontId="18" fillId="2" borderId="12" xfId="6" applyFont="1" applyBorder="1" applyAlignment="1">
      <alignment horizontal="center"/>
    </xf>
    <xf numFmtId="0" fontId="18" fillId="2" borderId="13" xfId="6" applyFont="1" applyBorder="1" applyAlignment="1">
      <alignment horizontal="center"/>
    </xf>
    <xf numFmtId="0" fontId="0" fillId="0" borderId="11" xfId="0" applyBorder="1"/>
    <xf numFmtId="0" fontId="0" fillId="0" borderId="12" xfId="0" applyBorder="1"/>
    <xf numFmtId="0" fontId="0" fillId="0" borderId="13" xfId="0" applyBorder="1"/>
    <xf numFmtId="0" fontId="0" fillId="0" borderId="0" xfId="0" applyNumberFormat="1"/>
    <xf numFmtId="0" fontId="20" fillId="0" borderId="0" xfId="0" pivotButton="1" applyFont="1"/>
    <xf numFmtId="0" fontId="20" fillId="0" borderId="0" xfId="0" applyFont="1"/>
    <xf numFmtId="0" fontId="20" fillId="0" borderId="0" xfId="0" applyFont="1" applyAlignment="1">
      <alignment horizontal="left"/>
    </xf>
    <xf numFmtId="0" fontId="20" fillId="0" borderId="0" xfId="0" applyNumberFormat="1" applyFont="1"/>
    <xf numFmtId="9" fontId="20" fillId="0" borderId="0" xfId="0" applyNumberFormat="1" applyFont="1"/>
    <xf numFmtId="2" fontId="20"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46">
    <dxf>
      <numFmt numFmtId="2" formatCode="0.00"/>
    </dxf>
    <dxf>
      <numFmt numFmtId="2" formatCode="0.00"/>
    </dxf>
    <dxf>
      <font>
        <sz val="12"/>
      </font>
    </dxf>
    <dxf>
      <font>
        <sz val="12"/>
      </font>
    </dxf>
    <dxf>
      <font>
        <sz val="12"/>
      </font>
    </dxf>
    <dxf>
      <font>
        <sz val="12"/>
      </font>
    </dxf>
    <dxf>
      <font>
        <sz val="12"/>
      </font>
    </dxf>
    <dxf>
      <font>
        <sz val="12"/>
      </font>
    </dxf>
    <dxf>
      <numFmt numFmtId="2" formatCode="0.00"/>
    </dxf>
    <dxf>
      <numFmt numFmtId="2" formatCode="0.00"/>
    </dxf>
    <dxf>
      <alignment wrapText="0"/>
    </dxf>
    <dxf>
      <font>
        <sz val="12"/>
      </font>
    </dxf>
    <dxf>
      <font>
        <sz val="12"/>
      </font>
    </dxf>
    <dxf>
      <font>
        <sz val="12"/>
      </font>
    </dxf>
    <dxf>
      <font>
        <sz val="12"/>
      </font>
    </dxf>
    <dxf>
      <font>
        <sz val="12"/>
      </font>
    </dxf>
    <dxf>
      <font>
        <sz val="12"/>
      </font>
    </dxf>
    <dxf>
      <numFmt numFmtId="2" formatCode="0.00"/>
    </dxf>
    <dxf>
      <numFmt numFmtId="2" formatCode="0.00"/>
    </dxf>
    <dxf>
      <font>
        <sz val="12"/>
      </font>
    </dxf>
    <dxf>
      <font>
        <sz val="12"/>
      </font>
    </dxf>
    <dxf>
      <font>
        <sz val="12"/>
      </font>
    </dxf>
    <dxf>
      <font>
        <sz val="12"/>
      </font>
    </dxf>
    <dxf>
      <font>
        <sz val="12"/>
      </font>
    </dxf>
    <dxf>
      <font>
        <sz val="12"/>
      </font>
    </dxf>
    <dxf>
      <numFmt numFmtId="2" formatCode="0.00"/>
    </dxf>
    <dxf>
      <numFmt numFmtId="2" formatCode="0.00"/>
    </dxf>
    <dxf>
      <alignment wrapText="0"/>
    </dxf>
    <dxf>
      <font>
        <sz val="12"/>
      </font>
    </dxf>
    <dxf>
      <font>
        <sz val="12"/>
      </font>
    </dxf>
    <dxf>
      <font>
        <sz val="12"/>
      </font>
    </dxf>
    <dxf>
      <font>
        <sz val="12"/>
      </font>
    </dxf>
    <dxf>
      <font>
        <sz val="12"/>
      </font>
    </dxf>
    <dxf>
      <font>
        <sz val="12"/>
      </font>
    </dxf>
    <dxf>
      <numFmt numFmtId="2" formatCode="0.00"/>
    </dxf>
    <dxf>
      <numFmt numFmtId="2" formatCode="0.00"/>
    </dxf>
    <dxf>
      <font>
        <sz val="12"/>
      </font>
    </dxf>
    <dxf>
      <font>
        <sz val="12"/>
      </font>
    </dxf>
    <dxf>
      <font>
        <sz val="12"/>
      </font>
    </dxf>
    <dxf>
      <font>
        <sz val="12"/>
      </font>
    </dxf>
    <dxf>
      <font>
        <sz val="12"/>
      </font>
    </dxf>
    <dxf>
      <font>
        <sz val="12"/>
      </font>
    </dxf>
    <dxf>
      <numFmt numFmtId="2" formatCode="0.00"/>
    </dxf>
    <dxf>
      <numFmt numFmtId="2" formatCode="0.00"/>
    </dxf>
    <dxf>
      <alignment wrapText="0"/>
    </dxf>
    <dxf>
      <font>
        <sz val="12"/>
      </font>
    </dxf>
    <dxf>
      <font>
        <sz val="12"/>
      </font>
    </dxf>
    <dxf>
      <font>
        <sz val="12"/>
      </font>
    </dxf>
    <dxf>
      <font>
        <sz val="12"/>
      </font>
    </dxf>
    <dxf>
      <font>
        <sz val="12"/>
      </font>
    </dxf>
    <dxf>
      <font>
        <sz val="12"/>
      </font>
    </dxf>
    <dxf>
      <alignment wrapText="0"/>
    </dxf>
    <dxf>
      <font>
        <sz val="12"/>
      </font>
    </dxf>
    <dxf>
      <font>
        <sz val="12"/>
      </font>
    </dxf>
    <dxf>
      <font>
        <sz val="12"/>
      </font>
    </dxf>
    <dxf>
      <font>
        <sz val="12"/>
      </font>
    </dxf>
    <dxf>
      <font>
        <sz val="12"/>
      </font>
    </dxf>
    <dxf>
      <font>
        <sz val="12"/>
      </font>
    </dxf>
    <dxf>
      <alignment wrapText="0"/>
    </dxf>
    <dxf>
      <font>
        <sz val="12"/>
      </font>
    </dxf>
    <dxf>
      <font>
        <sz val="12"/>
      </font>
    </dxf>
    <dxf>
      <font>
        <sz val="12"/>
      </font>
    </dxf>
    <dxf>
      <font>
        <sz val="12"/>
      </font>
    </dxf>
    <dxf>
      <font>
        <sz val="12"/>
      </font>
    </dxf>
    <dxf>
      <font>
        <sz val="12"/>
      </font>
    </dxf>
    <dxf>
      <alignment wrapText="0"/>
    </dxf>
    <dxf>
      <font>
        <sz val="12"/>
      </font>
    </dxf>
    <dxf>
      <font>
        <sz val="12"/>
      </font>
    </dxf>
    <dxf>
      <font>
        <sz val="12"/>
      </font>
    </dxf>
    <dxf>
      <font>
        <sz val="12"/>
      </font>
    </dxf>
    <dxf>
      <font>
        <sz val="12"/>
      </font>
    </dxf>
    <dxf>
      <font>
        <sz val="12"/>
      </font>
    </dxf>
    <dxf>
      <numFmt numFmtId="2" formatCode="0.00"/>
    </dxf>
    <dxf>
      <numFmt numFmtId="2" formatCode="0.00"/>
    </dxf>
    <dxf>
      <font>
        <sz val="12"/>
      </font>
    </dxf>
    <dxf>
      <font>
        <sz val="12"/>
      </font>
    </dxf>
    <dxf>
      <font>
        <sz val="12"/>
      </font>
    </dxf>
    <dxf>
      <font>
        <sz val="12"/>
      </font>
    </dxf>
    <dxf>
      <font>
        <sz val="12"/>
      </font>
    </dxf>
    <dxf>
      <font>
        <sz val="12"/>
      </font>
    </dxf>
    <dxf>
      <numFmt numFmtId="2" formatCode="0.00"/>
    </dxf>
    <dxf>
      <numFmt numFmtId="2" formatCode="0.00"/>
    </dxf>
    <dxf>
      <alignment wrapText="0"/>
    </dxf>
    <dxf>
      <font>
        <sz val="12"/>
      </font>
    </dxf>
    <dxf>
      <font>
        <sz val="12"/>
      </font>
    </dxf>
    <dxf>
      <font>
        <sz val="12"/>
      </font>
    </dxf>
    <dxf>
      <font>
        <sz val="12"/>
      </font>
    </dxf>
    <dxf>
      <font>
        <sz val="12"/>
      </font>
    </dxf>
    <dxf>
      <font>
        <sz val="12"/>
      </font>
    </dxf>
    <dxf>
      <alignment wrapText="0"/>
    </dxf>
    <dxf>
      <font>
        <sz val="12"/>
      </font>
    </dxf>
    <dxf>
      <font>
        <sz val="12"/>
      </font>
    </dxf>
    <dxf>
      <font>
        <sz val="12"/>
      </font>
    </dxf>
    <dxf>
      <font>
        <sz val="12"/>
      </font>
    </dxf>
    <dxf>
      <font>
        <sz val="12"/>
      </font>
    </dxf>
    <dxf>
      <font>
        <sz val="12"/>
      </font>
    </dxf>
    <dxf>
      <numFmt numFmtId="2" formatCode="0.00"/>
    </dxf>
    <dxf>
      <numFmt numFmtId="2" formatCode="0.00"/>
    </dxf>
    <dxf>
      <font>
        <sz val="12"/>
      </font>
    </dxf>
    <dxf>
      <font>
        <sz val="12"/>
      </font>
    </dxf>
    <dxf>
      <font>
        <sz val="12"/>
      </font>
    </dxf>
    <dxf>
      <font>
        <sz val="12"/>
      </font>
    </dxf>
    <dxf>
      <font>
        <sz val="12"/>
      </font>
    </dxf>
    <dxf>
      <font>
        <sz val="12"/>
      </font>
    </dxf>
    <dxf>
      <numFmt numFmtId="2" formatCode="0.00"/>
    </dxf>
    <dxf>
      <numFmt numFmtId="2" formatCode="0.00"/>
    </dxf>
    <dxf>
      <alignment wrapText="0"/>
    </dxf>
    <dxf>
      <font>
        <sz val="12"/>
      </font>
    </dxf>
    <dxf>
      <font>
        <sz val="12"/>
      </font>
    </dxf>
    <dxf>
      <font>
        <sz val="12"/>
      </font>
    </dxf>
    <dxf>
      <font>
        <sz val="12"/>
      </font>
    </dxf>
    <dxf>
      <font>
        <sz val="12"/>
      </font>
    </dxf>
    <dxf>
      <font>
        <sz val="12"/>
      </font>
    </dxf>
    <dxf>
      <numFmt numFmtId="2" formatCode="0.00"/>
    </dxf>
    <dxf>
      <numFmt numFmtId="2" formatCode="0.00"/>
    </dxf>
    <dxf>
      <font>
        <sz val="12"/>
      </font>
    </dxf>
    <dxf>
      <font>
        <sz val="12"/>
      </font>
    </dxf>
    <dxf>
      <font>
        <sz val="12"/>
      </font>
    </dxf>
    <dxf>
      <font>
        <sz val="12"/>
      </font>
    </dxf>
    <dxf>
      <font>
        <sz val="12"/>
      </font>
    </dxf>
    <dxf>
      <font>
        <sz val="12"/>
      </font>
    </dxf>
    <dxf>
      <numFmt numFmtId="2" formatCode="0.00"/>
    </dxf>
    <dxf>
      <numFmt numFmtId="2" formatCode="0.00"/>
    </dxf>
    <dxf>
      <alignment wrapText="0"/>
    </dxf>
    <dxf>
      <font>
        <sz val="12"/>
      </font>
    </dxf>
    <dxf>
      <font>
        <sz val="12"/>
      </font>
    </dxf>
    <dxf>
      <font>
        <sz val="12"/>
      </font>
    </dxf>
    <dxf>
      <font>
        <sz val="12"/>
      </font>
    </dxf>
    <dxf>
      <font>
        <sz val="12"/>
      </font>
    </dxf>
    <dxf>
      <font>
        <sz val="12"/>
      </font>
    </dxf>
    <dxf>
      <numFmt numFmtId="2" formatCode="0.00"/>
    </dxf>
    <dxf>
      <numFmt numFmtId="2" formatCode="0.00"/>
    </dxf>
    <dxf>
      <font>
        <sz val="12"/>
      </font>
    </dxf>
    <dxf>
      <font>
        <sz val="12"/>
      </font>
    </dxf>
    <dxf>
      <font>
        <sz val="12"/>
      </font>
    </dxf>
    <dxf>
      <font>
        <sz val="12"/>
      </font>
    </dxf>
    <dxf>
      <font>
        <sz val="12"/>
      </font>
    </dxf>
    <dxf>
      <font>
        <sz val="12"/>
      </font>
    </dxf>
    <dxf>
      <numFmt numFmtId="2" formatCode="0.00"/>
    </dxf>
    <dxf>
      <numFmt numFmtId="2" formatCode="0.00"/>
    </dxf>
    <dxf>
      <alignment wrapText="0"/>
    </dxf>
    <dxf>
      <font>
        <sz val="12"/>
      </font>
    </dxf>
    <dxf>
      <font>
        <sz val="12"/>
      </font>
    </dxf>
    <dxf>
      <font>
        <sz val="12"/>
      </font>
    </dxf>
    <dxf>
      <font>
        <sz val="12"/>
      </font>
    </dxf>
    <dxf>
      <font>
        <sz val="12"/>
      </font>
    </dxf>
    <dxf>
      <font>
        <sz val="12"/>
      </font>
    </dxf>
    <dxf>
      <numFmt numFmtId="2" formatCode="0.00"/>
    </dxf>
    <dxf>
      <numFmt numFmtId="2" formatCode="0.00"/>
    </dxf>
    <dxf>
      <font>
        <sz val="12"/>
      </font>
    </dxf>
    <dxf>
      <font>
        <sz val="12"/>
      </font>
    </dxf>
    <dxf>
      <font>
        <sz val="12"/>
      </font>
    </dxf>
    <dxf>
      <font>
        <sz val="12"/>
      </font>
    </dxf>
    <dxf>
      <font>
        <sz val="12"/>
      </font>
    </dxf>
    <dxf>
      <font>
        <sz val="12"/>
      </font>
    </dxf>
    <dxf>
      <numFmt numFmtId="2" formatCode="0.00"/>
    </dxf>
    <dxf>
      <numFmt numFmtId="2" formatCode="0.00"/>
    </dxf>
    <dxf>
      <alignment wrapText="0"/>
    </dxf>
    <dxf>
      <font>
        <sz val="12"/>
      </font>
    </dxf>
    <dxf>
      <font>
        <sz val="12"/>
      </font>
    </dxf>
    <dxf>
      <font>
        <sz val="12"/>
      </font>
    </dxf>
    <dxf>
      <font>
        <sz val="12"/>
      </font>
    </dxf>
    <dxf>
      <font>
        <sz val="12"/>
      </font>
    </dxf>
    <dxf>
      <font>
        <sz val="12"/>
      </font>
    </dxf>
    <dxf>
      <numFmt numFmtId="2" formatCode="0.00"/>
    </dxf>
    <dxf>
      <numFmt numFmtId="2" formatCode="0.00"/>
    </dxf>
    <dxf>
      <font>
        <sz val="12"/>
      </font>
    </dxf>
    <dxf>
      <font>
        <sz val="12"/>
      </font>
    </dxf>
    <dxf>
      <font>
        <sz val="12"/>
      </font>
    </dxf>
    <dxf>
      <font>
        <sz val="12"/>
      </font>
    </dxf>
    <dxf>
      <font>
        <sz val="12"/>
      </font>
    </dxf>
    <dxf>
      <font>
        <sz val="12"/>
      </font>
    </dxf>
    <dxf>
      <numFmt numFmtId="2" formatCode="0.00"/>
    </dxf>
    <dxf>
      <numFmt numFmtId="2" formatCode="0.00"/>
    </dxf>
    <dxf>
      <alignment wrapText="0"/>
    </dxf>
    <dxf>
      <font>
        <sz val="12"/>
      </font>
    </dxf>
    <dxf>
      <font>
        <sz val="12"/>
      </font>
    </dxf>
    <dxf>
      <font>
        <sz val="12"/>
      </font>
    </dxf>
    <dxf>
      <font>
        <sz val="12"/>
      </font>
    </dxf>
    <dxf>
      <font>
        <sz val="12"/>
      </font>
    </dxf>
    <dxf>
      <font>
        <sz val="12"/>
      </font>
    </dxf>
    <dxf>
      <numFmt numFmtId="2" formatCode="0.00"/>
    </dxf>
    <dxf>
      <numFmt numFmtId="2" formatCode="0.00"/>
    </dxf>
    <dxf>
      <font>
        <sz val="12"/>
      </font>
    </dxf>
    <dxf>
      <font>
        <sz val="12"/>
      </font>
    </dxf>
    <dxf>
      <font>
        <sz val="12"/>
      </font>
    </dxf>
    <dxf>
      <font>
        <sz val="12"/>
      </font>
    </dxf>
    <dxf>
      <font>
        <sz val="12"/>
      </font>
    </dxf>
    <dxf>
      <font>
        <sz val="12"/>
      </font>
    </dxf>
    <dxf>
      <numFmt numFmtId="2" formatCode="0.00"/>
    </dxf>
    <dxf>
      <numFmt numFmtId="2" formatCode="0.00"/>
    </dxf>
    <dxf>
      <alignment wrapText="0"/>
    </dxf>
    <dxf>
      <font>
        <sz val="12"/>
      </font>
    </dxf>
    <dxf>
      <font>
        <sz val="12"/>
      </font>
    </dxf>
    <dxf>
      <font>
        <sz val="12"/>
      </font>
    </dxf>
    <dxf>
      <font>
        <sz val="12"/>
      </font>
    </dxf>
    <dxf>
      <font>
        <sz val="12"/>
      </font>
    </dxf>
    <dxf>
      <font>
        <sz val="12"/>
      </font>
    </dxf>
    <dxf>
      <numFmt numFmtId="2" formatCode="0.00"/>
    </dxf>
    <dxf>
      <numFmt numFmtId="2" formatCode="0.00"/>
    </dxf>
    <dxf>
      <font>
        <sz val="12"/>
      </font>
    </dxf>
    <dxf>
      <font>
        <sz val="12"/>
      </font>
    </dxf>
    <dxf>
      <font>
        <sz val="12"/>
      </font>
    </dxf>
    <dxf>
      <font>
        <sz val="12"/>
      </font>
    </dxf>
    <dxf>
      <font>
        <sz val="12"/>
      </font>
    </dxf>
    <dxf>
      <font>
        <sz val="12"/>
      </font>
    </dxf>
    <dxf>
      <numFmt numFmtId="2" formatCode="0.00"/>
    </dxf>
    <dxf>
      <numFmt numFmtId="2" formatCode="0.00"/>
    </dxf>
    <dxf>
      <font>
        <sz val="12"/>
      </font>
    </dxf>
    <dxf>
      <font>
        <sz val="12"/>
      </font>
    </dxf>
    <dxf>
      <font>
        <sz val="12"/>
      </font>
    </dxf>
    <dxf>
      <font>
        <sz val="12"/>
      </font>
    </dxf>
    <dxf>
      <font>
        <sz val="12"/>
      </font>
    </dxf>
    <dxf>
      <font>
        <sz val="12"/>
      </font>
    </dxf>
    <dxf>
      <alignment wrapText="0"/>
    </dxf>
    <dxf>
      <font>
        <sz val="12"/>
      </font>
    </dxf>
    <dxf>
      <font>
        <sz val="12"/>
      </font>
    </dxf>
    <dxf>
      <font>
        <sz val="12"/>
      </font>
    </dxf>
    <dxf>
      <font>
        <sz val="12"/>
      </font>
    </dxf>
    <dxf>
      <font>
        <sz val="12"/>
      </font>
    </dxf>
    <dxf>
      <font>
        <sz val="12"/>
      </font>
    </dxf>
    <dxf>
      <alignment wrapText="0"/>
    </dxf>
    <dxf>
      <font>
        <sz val="12"/>
      </font>
    </dxf>
    <dxf>
      <font>
        <sz val="12"/>
      </font>
    </dxf>
    <dxf>
      <font>
        <sz val="12"/>
      </font>
    </dxf>
    <dxf>
      <font>
        <sz val="12"/>
      </font>
    </dxf>
    <dxf>
      <font>
        <sz val="12"/>
      </font>
    </dxf>
    <dxf>
      <font>
        <sz val="12"/>
      </font>
    </dxf>
    <dxf>
      <alignment wrapText="0"/>
    </dxf>
    <dxf>
      <font>
        <sz val="12"/>
      </font>
    </dxf>
    <dxf>
      <font>
        <sz val="12"/>
      </font>
    </dxf>
    <dxf>
      <font>
        <sz val="12"/>
      </font>
    </dxf>
    <dxf>
      <font>
        <sz val="12"/>
      </font>
    </dxf>
    <dxf>
      <font>
        <sz val="12"/>
      </font>
    </dxf>
    <dxf>
      <font>
        <sz val="12"/>
      </font>
    </dxf>
    <dxf>
      <alignment wrapText="0"/>
    </dxf>
    <dxf>
      <font>
        <sz val="12"/>
      </font>
    </dxf>
    <dxf>
      <font>
        <sz val="12"/>
      </font>
    </dxf>
    <dxf>
      <font>
        <sz val="12"/>
      </font>
    </dxf>
    <dxf>
      <font>
        <sz val="12"/>
      </font>
    </dxf>
    <dxf>
      <font>
        <sz val="12"/>
      </font>
    </dxf>
    <dxf>
      <font>
        <sz val="12"/>
      </font>
    </dxf>
    <dxf>
      <numFmt numFmtId="1" formatCode="0"/>
    </dxf>
    <dxf>
      <numFmt numFmtId="13" formatCode="0%"/>
    </dxf>
    <dxf>
      <numFmt numFmtId="2" formatCode="0.00"/>
    </dxf>
    <dxf>
      <numFmt numFmtId="2" formatCode="0.00"/>
    </dxf>
  </dxfs>
  <tableStyles count="0" defaultTableStyle="TableStyleMedium2" defaultPivotStyle="PivotStyleLight16"/>
  <colors>
    <mruColors>
      <color rgb="FF523046"/>
      <color rgb="FF552A5C"/>
      <color rgb="FFC7A1B9"/>
      <color rgb="FF8DA9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VS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Excel_jumia_dataset!$F$1</c:f>
              <c:strCache>
                <c:ptCount val="1"/>
                <c:pt idx="0">
                  <c:v>Review</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3.7216196975265681E-2"/>
                  <c:y val="-0.44377231972217063"/>
                </c:manualLayout>
              </c:layout>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rendlineLbl>
          </c:trendline>
          <c:xVal>
            <c:numRef>
              <c:f>Excel_jumia_dataset!$E$2:$E$114</c:f>
              <c:numCache>
                <c:formatCode>0%</c:formatCode>
                <c:ptCount val="111"/>
                <c:pt idx="0">
                  <c:v>0.35</c:v>
                </c:pt>
                <c:pt idx="1">
                  <c:v>0.49</c:v>
                </c:pt>
                <c:pt idx="2">
                  <c:v>0.34</c:v>
                </c:pt>
                <c:pt idx="3">
                  <c:v>0.41</c:v>
                </c:pt>
                <c:pt idx="4">
                  <c:v>0.27</c:v>
                </c:pt>
                <c:pt idx="5">
                  <c:v>0.25</c:v>
                </c:pt>
                <c:pt idx="6">
                  <c:v>0.3</c:v>
                </c:pt>
                <c:pt idx="7">
                  <c:v>0.27</c:v>
                </c:pt>
                <c:pt idx="8">
                  <c:v>0.45</c:v>
                </c:pt>
                <c:pt idx="9">
                  <c:v>0.22</c:v>
                </c:pt>
                <c:pt idx="10">
                  <c:v>0.52</c:v>
                </c:pt>
                <c:pt idx="11">
                  <c:v>0.09</c:v>
                </c:pt>
                <c:pt idx="12">
                  <c:v>0.47</c:v>
                </c:pt>
                <c:pt idx="13">
                  <c:v>0.23</c:v>
                </c:pt>
                <c:pt idx="14">
                  <c:v>0.55000000000000004</c:v>
                </c:pt>
                <c:pt idx="15">
                  <c:v>0.53</c:v>
                </c:pt>
                <c:pt idx="16">
                  <c:v>0.32</c:v>
                </c:pt>
                <c:pt idx="17">
                  <c:v>0.47</c:v>
                </c:pt>
                <c:pt idx="18">
                  <c:v>0.34</c:v>
                </c:pt>
                <c:pt idx="19">
                  <c:v>0.2</c:v>
                </c:pt>
                <c:pt idx="20">
                  <c:v>0.18</c:v>
                </c:pt>
                <c:pt idx="21">
                  <c:v>0.54</c:v>
                </c:pt>
                <c:pt idx="22">
                  <c:v>0.52</c:v>
                </c:pt>
                <c:pt idx="23">
                  <c:v>0.48</c:v>
                </c:pt>
                <c:pt idx="24">
                  <c:v>0.33</c:v>
                </c:pt>
                <c:pt idx="25">
                  <c:v>0.54</c:v>
                </c:pt>
                <c:pt idx="26">
                  <c:v>0.5</c:v>
                </c:pt>
                <c:pt idx="27">
                  <c:v>0.47</c:v>
                </c:pt>
                <c:pt idx="28">
                  <c:v>0.37</c:v>
                </c:pt>
                <c:pt idx="29">
                  <c:v>0.47</c:v>
                </c:pt>
                <c:pt idx="30">
                  <c:v>0.45</c:v>
                </c:pt>
                <c:pt idx="31">
                  <c:v>0.43</c:v>
                </c:pt>
                <c:pt idx="32">
                  <c:v>0.42</c:v>
                </c:pt>
                <c:pt idx="33">
                  <c:v>0.35</c:v>
                </c:pt>
                <c:pt idx="34">
                  <c:v>0.13</c:v>
                </c:pt>
                <c:pt idx="35">
                  <c:v>0.55000000000000004</c:v>
                </c:pt>
                <c:pt idx="36">
                  <c:v>0.45</c:v>
                </c:pt>
                <c:pt idx="37">
                  <c:v>0.43</c:v>
                </c:pt>
                <c:pt idx="38">
                  <c:v>0.39</c:v>
                </c:pt>
                <c:pt idx="39">
                  <c:v>0.28999999999999998</c:v>
                </c:pt>
                <c:pt idx="40">
                  <c:v>0.26</c:v>
                </c:pt>
                <c:pt idx="41">
                  <c:v>0.19</c:v>
                </c:pt>
                <c:pt idx="42">
                  <c:v>0.49</c:v>
                </c:pt>
                <c:pt idx="43">
                  <c:v>0.53</c:v>
                </c:pt>
                <c:pt idx="44">
                  <c:v>0.51</c:v>
                </c:pt>
                <c:pt idx="45">
                  <c:v>0.46</c:v>
                </c:pt>
                <c:pt idx="46">
                  <c:v>0.38</c:v>
                </c:pt>
                <c:pt idx="47">
                  <c:v>0.38</c:v>
                </c:pt>
                <c:pt idx="48">
                  <c:v>0.37</c:v>
                </c:pt>
                <c:pt idx="49">
                  <c:v>0.26</c:v>
                </c:pt>
                <c:pt idx="50">
                  <c:v>0.5</c:v>
                </c:pt>
                <c:pt idx="51">
                  <c:v>0.49</c:v>
                </c:pt>
                <c:pt idx="52">
                  <c:v>0.49</c:v>
                </c:pt>
                <c:pt idx="53">
                  <c:v>0.46</c:v>
                </c:pt>
                <c:pt idx="54">
                  <c:v>0.4</c:v>
                </c:pt>
                <c:pt idx="55">
                  <c:v>0.21</c:v>
                </c:pt>
                <c:pt idx="56">
                  <c:v>0.64</c:v>
                </c:pt>
                <c:pt idx="57">
                  <c:v>0.61</c:v>
                </c:pt>
                <c:pt idx="58">
                  <c:v>0.55000000000000004</c:v>
                </c:pt>
                <c:pt idx="59">
                  <c:v>0.5</c:v>
                </c:pt>
                <c:pt idx="60">
                  <c:v>0.5</c:v>
                </c:pt>
                <c:pt idx="61">
                  <c:v>0.5</c:v>
                </c:pt>
                <c:pt idx="62">
                  <c:v>0.5</c:v>
                </c:pt>
                <c:pt idx="63">
                  <c:v>0.5</c:v>
                </c:pt>
                <c:pt idx="64">
                  <c:v>0.49</c:v>
                </c:pt>
                <c:pt idx="65">
                  <c:v>0.49</c:v>
                </c:pt>
                <c:pt idx="66">
                  <c:v>0.49</c:v>
                </c:pt>
                <c:pt idx="67">
                  <c:v>0.49</c:v>
                </c:pt>
                <c:pt idx="68">
                  <c:v>0.49</c:v>
                </c:pt>
                <c:pt idx="69">
                  <c:v>0.49</c:v>
                </c:pt>
                <c:pt idx="70">
                  <c:v>0.49</c:v>
                </c:pt>
                <c:pt idx="71">
                  <c:v>0.49</c:v>
                </c:pt>
                <c:pt idx="72">
                  <c:v>0.49</c:v>
                </c:pt>
                <c:pt idx="73">
                  <c:v>0.48</c:v>
                </c:pt>
                <c:pt idx="74">
                  <c:v>0.48</c:v>
                </c:pt>
                <c:pt idx="75">
                  <c:v>0.48</c:v>
                </c:pt>
                <c:pt idx="76">
                  <c:v>0.47</c:v>
                </c:pt>
                <c:pt idx="77">
                  <c:v>0.47</c:v>
                </c:pt>
                <c:pt idx="78">
                  <c:v>0.47</c:v>
                </c:pt>
                <c:pt idx="79">
                  <c:v>0.46</c:v>
                </c:pt>
                <c:pt idx="80">
                  <c:v>0.45</c:v>
                </c:pt>
                <c:pt idx="81">
                  <c:v>0.43</c:v>
                </c:pt>
                <c:pt idx="82">
                  <c:v>0.43</c:v>
                </c:pt>
                <c:pt idx="83">
                  <c:v>0.42</c:v>
                </c:pt>
                <c:pt idx="84">
                  <c:v>0.42</c:v>
                </c:pt>
                <c:pt idx="85">
                  <c:v>0.42</c:v>
                </c:pt>
                <c:pt idx="86">
                  <c:v>0.41</c:v>
                </c:pt>
                <c:pt idx="87">
                  <c:v>0.41</c:v>
                </c:pt>
                <c:pt idx="88">
                  <c:v>0.38</c:v>
                </c:pt>
                <c:pt idx="89">
                  <c:v>0.38</c:v>
                </c:pt>
                <c:pt idx="90">
                  <c:v>0.36</c:v>
                </c:pt>
                <c:pt idx="91">
                  <c:v>0.34</c:v>
                </c:pt>
                <c:pt idx="92">
                  <c:v>0.34</c:v>
                </c:pt>
                <c:pt idx="93">
                  <c:v>0.33</c:v>
                </c:pt>
                <c:pt idx="94">
                  <c:v>0.27</c:v>
                </c:pt>
                <c:pt idx="95">
                  <c:v>0.24</c:v>
                </c:pt>
                <c:pt idx="96">
                  <c:v>0.22</c:v>
                </c:pt>
                <c:pt idx="97">
                  <c:v>0.14000000000000001</c:v>
                </c:pt>
                <c:pt idx="98">
                  <c:v>0.14000000000000001</c:v>
                </c:pt>
                <c:pt idx="99">
                  <c:v>0.11</c:v>
                </c:pt>
                <c:pt idx="100">
                  <c:v>0.08</c:v>
                </c:pt>
                <c:pt idx="101">
                  <c:v>0.04</c:v>
                </c:pt>
                <c:pt idx="102">
                  <c:v>0.04</c:v>
                </c:pt>
                <c:pt idx="103">
                  <c:v>0.03</c:v>
                </c:pt>
                <c:pt idx="104">
                  <c:v>0.02</c:v>
                </c:pt>
                <c:pt idx="105">
                  <c:v>0.02</c:v>
                </c:pt>
                <c:pt idx="106">
                  <c:v>0.02</c:v>
                </c:pt>
                <c:pt idx="107">
                  <c:v>0.02</c:v>
                </c:pt>
                <c:pt idx="108">
                  <c:v>0.02</c:v>
                </c:pt>
                <c:pt idx="109">
                  <c:v>0.02</c:v>
                </c:pt>
                <c:pt idx="110">
                  <c:v>0.01</c:v>
                </c:pt>
              </c:numCache>
            </c:numRef>
          </c:xVal>
          <c:yVal>
            <c:numRef>
              <c:f>Excel_jumia_dataset!$F$2:$F$114</c:f>
              <c:numCache>
                <c:formatCode>0</c:formatCode>
                <c:ptCount val="111"/>
                <c:pt idx="0">
                  <c:v>49</c:v>
                </c:pt>
                <c:pt idx="1">
                  <c:v>44</c:v>
                </c:pt>
                <c:pt idx="2">
                  <c:v>39</c:v>
                </c:pt>
                <c:pt idx="3">
                  <c:v>36</c:v>
                </c:pt>
                <c:pt idx="4">
                  <c:v>32</c:v>
                </c:pt>
                <c:pt idx="5">
                  <c:v>24</c:v>
                </c:pt>
                <c:pt idx="6">
                  <c:v>20</c:v>
                </c:pt>
                <c:pt idx="7">
                  <c:v>20</c:v>
                </c:pt>
                <c:pt idx="8">
                  <c:v>17</c:v>
                </c:pt>
                <c:pt idx="9">
                  <c:v>16</c:v>
                </c:pt>
                <c:pt idx="10">
                  <c:v>15</c:v>
                </c:pt>
                <c:pt idx="11">
                  <c:v>15</c:v>
                </c:pt>
                <c:pt idx="12">
                  <c:v>14</c:v>
                </c:pt>
                <c:pt idx="13">
                  <c:v>14</c:v>
                </c:pt>
                <c:pt idx="14">
                  <c:v>13</c:v>
                </c:pt>
                <c:pt idx="15">
                  <c:v>13</c:v>
                </c:pt>
                <c:pt idx="16">
                  <c:v>13</c:v>
                </c:pt>
                <c:pt idx="17">
                  <c:v>12</c:v>
                </c:pt>
                <c:pt idx="18">
                  <c:v>12</c:v>
                </c:pt>
                <c:pt idx="19">
                  <c:v>12</c:v>
                </c:pt>
                <c:pt idx="20">
                  <c:v>12</c:v>
                </c:pt>
                <c:pt idx="21">
                  <c:v>10</c:v>
                </c:pt>
                <c:pt idx="22">
                  <c:v>9</c:v>
                </c:pt>
                <c:pt idx="23">
                  <c:v>9</c:v>
                </c:pt>
                <c:pt idx="24">
                  <c:v>9</c:v>
                </c:pt>
                <c:pt idx="25">
                  <c:v>7</c:v>
                </c:pt>
                <c:pt idx="26">
                  <c:v>7</c:v>
                </c:pt>
                <c:pt idx="27">
                  <c:v>7</c:v>
                </c:pt>
                <c:pt idx="28">
                  <c:v>7</c:v>
                </c:pt>
                <c:pt idx="29">
                  <c:v>6</c:v>
                </c:pt>
                <c:pt idx="30">
                  <c:v>6</c:v>
                </c:pt>
                <c:pt idx="31">
                  <c:v>6</c:v>
                </c:pt>
                <c:pt idx="32">
                  <c:v>6</c:v>
                </c:pt>
                <c:pt idx="33">
                  <c:v>6</c:v>
                </c:pt>
                <c:pt idx="34">
                  <c:v>6</c:v>
                </c:pt>
                <c:pt idx="35">
                  <c:v>5</c:v>
                </c:pt>
                <c:pt idx="36">
                  <c:v>5</c:v>
                </c:pt>
                <c:pt idx="37">
                  <c:v>5</c:v>
                </c:pt>
                <c:pt idx="38">
                  <c:v>5</c:v>
                </c:pt>
                <c:pt idx="39">
                  <c:v>5</c:v>
                </c:pt>
                <c:pt idx="40">
                  <c:v>5</c:v>
                </c:pt>
                <c:pt idx="41">
                  <c:v>5</c:v>
                </c:pt>
                <c:pt idx="42">
                  <c:v>3</c:v>
                </c:pt>
                <c:pt idx="43">
                  <c:v>2</c:v>
                </c:pt>
                <c:pt idx="44">
                  <c:v>2</c:v>
                </c:pt>
                <c:pt idx="45">
                  <c:v>2</c:v>
                </c:pt>
                <c:pt idx="46">
                  <c:v>2</c:v>
                </c:pt>
                <c:pt idx="47">
                  <c:v>2</c:v>
                </c:pt>
                <c:pt idx="48">
                  <c:v>2</c:v>
                </c:pt>
                <c:pt idx="49">
                  <c:v>2</c:v>
                </c:pt>
                <c:pt idx="50">
                  <c:v>1</c:v>
                </c:pt>
                <c:pt idx="51">
                  <c:v>1</c:v>
                </c:pt>
                <c:pt idx="52">
                  <c:v>1</c:v>
                </c:pt>
                <c:pt idx="53">
                  <c:v>1</c:v>
                </c:pt>
                <c:pt idx="54">
                  <c:v>1</c:v>
                </c:pt>
                <c:pt idx="55">
                  <c:v>1</c:v>
                </c:pt>
              </c:numCache>
            </c:numRef>
          </c:yVal>
          <c:smooth val="0"/>
          <c:extLst>
            <c:ext xmlns:c16="http://schemas.microsoft.com/office/drawing/2014/chart" uri="{C3380CC4-5D6E-409C-BE32-E72D297353CC}">
              <c16:uniqueId val="{00000000-3476-49F8-ADB2-6ED06EAB680E}"/>
            </c:ext>
          </c:extLst>
        </c:ser>
        <c:dLbls>
          <c:showLegendKey val="0"/>
          <c:showVal val="0"/>
          <c:showCatName val="0"/>
          <c:showSerName val="0"/>
          <c:showPercent val="0"/>
          <c:showBubbleSize val="0"/>
        </c:dLbls>
        <c:axId val="935436720"/>
        <c:axId val="935440080"/>
      </c:scatterChart>
      <c:valAx>
        <c:axId val="935436720"/>
        <c:scaling>
          <c:orientation val="minMax"/>
          <c:min val="8.0000000000000016E-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440080"/>
        <c:crosses val="autoZero"/>
        <c:crossBetween val="midCat"/>
      </c:valAx>
      <c:valAx>
        <c:axId val="935440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4367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Review VS Rating</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8.1679174795284082E-2"/>
                  <c:y val="-0.15585047838324845"/>
                </c:manualLayout>
              </c:layout>
              <c:numFmt formatCode="General"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rendlineLbl>
          </c:trendline>
          <c:xVal>
            <c:numRef>
              <c:f>Excel_jumia_dataset!$F$2:$F$114</c:f>
              <c:numCache>
                <c:formatCode>0</c:formatCode>
                <c:ptCount val="111"/>
                <c:pt idx="0">
                  <c:v>49</c:v>
                </c:pt>
                <c:pt idx="1">
                  <c:v>44</c:v>
                </c:pt>
                <c:pt idx="2">
                  <c:v>39</c:v>
                </c:pt>
                <c:pt idx="3">
                  <c:v>36</c:v>
                </c:pt>
                <c:pt idx="4">
                  <c:v>32</c:v>
                </c:pt>
                <c:pt idx="5">
                  <c:v>24</c:v>
                </c:pt>
                <c:pt idx="6">
                  <c:v>20</c:v>
                </c:pt>
                <c:pt idx="7">
                  <c:v>20</c:v>
                </c:pt>
                <c:pt idx="8">
                  <c:v>17</c:v>
                </c:pt>
                <c:pt idx="9">
                  <c:v>16</c:v>
                </c:pt>
                <c:pt idx="10">
                  <c:v>15</c:v>
                </c:pt>
                <c:pt idx="11">
                  <c:v>15</c:v>
                </c:pt>
                <c:pt idx="12">
                  <c:v>14</c:v>
                </c:pt>
                <c:pt idx="13">
                  <c:v>14</c:v>
                </c:pt>
                <c:pt idx="14">
                  <c:v>13</c:v>
                </c:pt>
                <c:pt idx="15">
                  <c:v>13</c:v>
                </c:pt>
                <c:pt idx="16">
                  <c:v>13</c:v>
                </c:pt>
                <c:pt idx="17">
                  <c:v>12</c:v>
                </c:pt>
                <c:pt idx="18">
                  <c:v>12</c:v>
                </c:pt>
                <c:pt idx="19">
                  <c:v>12</c:v>
                </c:pt>
                <c:pt idx="20">
                  <c:v>12</c:v>
                </c:pt>
                <c:pt idx="21">
                  <c:v>10</c:v>
                </c:pt>
                <c:pt idx="22">
                  <c:v>9</c:v>
                </c:pt>
                <c:pt idx="23">
                  <c:v>9</c:v>
                </c:pt>
                <c:pt idx="24">
                  <c:v>9</c:v>
                </c:pt>
                <c:pt idx="25">
                  <c:v>7</c:v>
                </c:pt>
                <c:pt idx="26">
                  <c:v>7</c:v>
                </c:pt>
                <c:pt idx="27">
                  <c:v>7</c:v>
                </c:pt>
                <c:pt idx="28">
                  <c:v>7</c:v>
                </c:pt>
                <c:pt idx="29">
                  <c:v>6</c:v>
                </c:pt>
                <c:pt idx="30">
                  <c:v>6</c:v>
                </c:pt>
                <c:pt idx="31">
                  <c:v>6</c:v>
                </c:pt>
                <c:pt idx="32">
                  <c:v>6</c:v>
                </c:pt>
                <c:pt idx="33">
                  <c:v>6</c:v>
                </c:pt>
                <c:pt idx="34">
                  <c:v>6</c:v>
                </c:pt>
                <c:pt idx="35">
                  <c:v>5</c:v>
                </c:pt>
                <c:pt idx="36">
                  <c:v>5</c:v>
                </c:pt>
                <c:pt idx="37">
                  <c:v>5</c:v>
                </c:pt>
                <c:pt idx="38">
                  <c:v>5</c:v>
                </c:pt>
                <c:pt idx="39">
                  <c:v>5</c:v>
                </c:pt>
                <c:pt idx="40">
                  <c:v>5</c:v>
                </c:pt>
                <c:pt idx="41">
                  <c:v>5</c:v>
                </c:pt>
                <c:pt idx="42">
                  <c:v>3</c:v>
                </c:pt>
                <c:pt idx="43">
                  <c:v>2</c:v>
                </c:pt>
                <c:pt idx="44">
                  <c:v>2</c:v>
                </c:pt>
                <c:pt idx="45">
                  <c:v>2</c:v>
                </c:pt>
                <c:pt idx="46">
                  <c:v>2</c:v>
                </c:pt>
                <c:pt idx="47">
                  <c:v>2</c:v>
                </c:pt>
                <c:pt idx="48">
                  <c:v>2</c:v>
                </c:pt>
                <c:pt idx="49">
                  <c:v>2</c:v>
                </c:pt>
                <c:pt idx="50">
                  <c:v>1</c:v>
                </c:pt>
                <c:pt idx="51">
                  <c:v>1</c:v>
                </c:pt>
                <c:pt idx="52">
                  <c:v>1</c:v>
                </c:pt>
                <c:pt idx="53">
                  <c:v>1</c:v>
                </c:pt>
                <c:pt idx="54">
                  <c:v>1</c:v>
                </c:pt>
                <c:pt idx="55">
                  <c:v>1</c:v>
                </c:pt>
              </c:numCache>
            </c:numRef>
          </c:xVal>
          <c:yVal>
            <c:numRef>
              <c:f>Excel_jumia_dataset!$G$2:$G$114</c:f>
              <c:numCache>
                <c:formatCode>General</c:formatCode>
                <c:ptCount val="111"/>
                <c:pt idx="0">
                  <c:v>4.5999999999999996</c:v>
                </c:pt>
                <c:pt idx="1">
                  <c:v>4.5999999999999996</c:v>
                </c:pt>
                <c:pt idx="2">
                  <c:v>4.7</c:v>
                </c:pt>
                <c:pt idx="3">
                  <c:v>4.3</c:v>
                </c:pt>
                <c:pt idx="4">
                  <c:v>4.5</c:v>
                </c:pt>
                <c:pt idx="5">
                  <c:v>4.5999999999999996</c:v>
                </c:pt>
                <c:pt idx="6">
                  <c:v>4.0999999999999996</c:v>
                </c:pt>
                <c:pt idx="7">
                  <c:v>4.7</c:v>
                </c:pt>
                <c:pt idx="8">
                  <c:v>2.6</c:v>
                </c:pt>
                <c:pt idx="9">
                  <c:v>2.9</c:v>
                </c:pt>
                <c:pt idx="10">
                  <c:v>2.7</c:v>
                </c:pt>
                <c:pt idx="11">
                  <c:v>4</c:v>
                </c:pt>
                <c:pt idx="12">
                  <c:v>4.0999999999999996</c:v>
                </c:pt>
                <c:pt idx="13">
                  <c:v>4.4000000000000004</c:v>
                </c:pt>
                <c:pt idx="14">
                  <c:v>2.1</c:v>
                </c:pt>
                <c:pt idx="15">
                  <c:v>3.3</c:v>
                </c:pt>
                <c:pt idx="16">
                  <c:v>3.8</c:v>
                </c:pt>
                <c:pt idx="17">
                  <c:v>4.8</c:v>
                </c:pt>
                <c:pt idx="18">
                  <c:v>4.7</c:v>
                </c:pt>
                <c:pt idx="19">
                  <c:v>4.0999999999999996</c:v>
                </c:pt>
                <c:pt idx="20">
                  <c:v>3.8</c:v>
                </c:pt>
                <c:pt idx="21">
                  <c:v>3</c:v>
                </c:pt>
                <c:pt idx="22">
                  <c:v>4.3</c:v>
                </c:pt>
                <c:pt idx="23">
                  <c:v>4.3</c:v>
                </c:pt>
                <c:pt idx="24">
                  <c:v>4.2</c:v>
                </c:pt>
                <c:pt idx="25">
                  <c:v>4.3</c:v>
                </c:pt>
                <c:pt idx="26">
                  <c:v>2.2999999999999998</c:v>
                </c:pt>
                <c:pt idx="27">
                  <c:v>2.1</c:v>
                </c:pt>
                <c:pt idx="28">
                  <c:v>4.7</c:v>
                </c:pt>
                <c:pt idx="29">
                  <c:v>2.2000000000000002</c:v>
                </c:pt>
                <c:pt idx="30">
                  <c:v>2.2000000000000002</c:v>
                </c:pt>
                <c:pt idx="31">
                  <c:v>2.2999999999999998</c:v>
                </c:pt>
                <c:pt idx="32">
                  <c:v>4.5</c:v>
                </c:pt>
                <c:pt idx="33">
                  <c:v>4</c:v>
                </c:pt>
                <c:pt idx="34">
                  <c:v>2.5</c:v>
                </c:pt>
                <c:pt idx="35">
                  <c:v>4.8</c:v>
                </c:pt>
                <c:pt idx="36">
                  <c:v>3.8</c:v>
                </c:pt>
                <c:pt idx="37">
                  <c:v>3</c:v>
                </c:pt>
                <c:pt idx="38">
                  <c:v>3</c:v>
                </c:pt>
                <c:pt idx="39">
                  <c:v>3</c:v>
                </c:pt>
                <c:pt idx="40">
                  <c:v>4.8</c:v>
                </c:pt>
                <c:pt idx="41">
                  <c:v>4.5999999999999996</c:v>
                </c:pt>
                <c:pt idx="42">
                  <c:v>5</c:v>
                </c:pt>
                <c:pt idx="43">
                  <c:v>5</c:v>
                </c:pt>
                <c:pt idx="44">
                  <c:v>5</c:v>
                </c:pt>
                <c:pt idx="45">
                  <c:v>5</c:v>
                </c:pt>
                <c:pt idx="46">
                  <c:v>4.5</c:v>
                </c:pt>
                <c:pt idx="47">
                  <c:v>4.5</c:v>
                </c:pt>
                <c:pt idx="48">
                  <c:v>4</c:v>
                </c:pt>
                <c:pt idx="49">
                  <c:v>4.5</c:v>
                </c:pt>
                <c:pt idx="50">
                  <c:v>2</c:v>
                </c:pt>
                <c:pt idx="51">
                  <c:v>5</c:v>
                </c:pt>
                <c:pt idx="52">
                  <c:v>4</c:v>
                </c:pt>
                <c:pt idx="53">
                  <c:v>3</c:v>
                </c:pt>
                <c:pt idx="54">
                  <c:v>5</c:v>
                </c:pt>
                <c:pt idx="55">
                  <c:v>5</c:v>
                </c:pt>
              </c:numCache>
            </c:numRef>
          </c:yVal>
          <c:smooth val="0"/>
          <c:extLst>
            <c:ext xmlns:c16="http://schemas.microsoft.com/office/drawing/2014/chart" uri="{C3380CC4-5D6E-409C-BE32-E72D297353CC}">
              <c16:uniqueId val="{00000000-FB8F-4350-9532-A851A6546C03}"/>
            </c:ext>
          </c:extLst>
        </c:ser>
        <c:dLbls>
          <c:showLegendKey val="0"/>
          <c:showVal val="0"/>
          <c:showCatName val="0"/>
          <c:showSerName val="0"/>
          <c:showPercent val="0"/>
          <c:showBubbleSize val="0"/>
        </c:dLbls>
        <c:axId val="812062704"/>
        <c:axId val="812068464"/>
      </c:scatterChart>
      <c:valAx>
        <c:axId val="812062704"/>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US"/>
                  <a:t>Reviews</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12068464"/>
        <c:crosses val="autoZero"/>
        <c:crossBetween val="midCat"/>
      </c:valAx>
      <c:valAx>
        <c:axId val="812068464"/>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US"/>
                  <a:t>Ratings</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120627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r>
              <a:rPr lang="en-US"/>
              <a:t>Discount VS  Review</a:t>
            </a:r>
          </a:p>
        </c:rich>
      </c:tx>
      <c:overlay val="0"/>
      <c:spPr>
        <a:noFill/>
        <a:ln>
          <a:noFill/>
        </a:ln>
        <a:effectLst/>
      </c:spPr>
      <c:txPr>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9.5750110475938816E-2"/>
          <c:y val="0.16671456558316355"/>
          <c:w val="0.8047762095006189"/>
          <c:h val="0.62542539180562284"/>
        </c:manualLayout>
      </c:layout>
      <c:scatterChart>
        <c:scatterStyle val="lineMarker"/>
        <c:varyColors val="0"/>
        <c:ser>
          <c:idx val="0"/>
          <c:order val="0"/>
          <c:tx>
            <c:strRef>
              <c:f>Excel_jumia_dataset!$F$1</c:f>
              <c:strCache>
                <c:ptCount val="1"/>
                <c:pt idx="0">
                  <c:v>Review</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3.7216196975265681E-2"/>
                  <c:y val="-0.44377231972217063"/>
                </c:manualLayout>
              </c:layout>
              <c:numFmt formatCode="General"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trendlineLbl>
          </c:trendline>
          <c:xVal>
            <c:numRef>
              <c:f>Excel_jumia_dataset!$E$2:$E$114</c:f>
              <c:numCache>
                <c:formatCode>0%</c:formatCode>
                <c:ptCount val="111"/>
                <c:pt idx="0">
                  <c:v>0.35</c:v>
                </c:pt>
                <c:pt idx="1">
                  <c:v>0.49</c:v>
                </c:pt>
                <c:pt idx="2">
                  <c:v>0.34</c:v>
                </c:pt>
                <c:pt idx="3">
                  <c:v>0.41</c:v>
                </c:pt>
                <c:pt idx="4">
                  <c:v>0.27</c:v>
                </c:pt>
                <c:pt idx="5">
                  <c:v>0.25</c:v>
                </c:pt>
                <c:pt idx="6">
                  <c:v>0.3</c:v>
                </c:pt>
                <c:pt idx="7">
                  <c:v>0.27</c:v>
                </c:pt>
                <c:pt idx="8">
                  <c:v>0.45</c:v>
                </c:pt>
                <c:pt idx="9">
                  <c:v>0.22</c:v>
                </c:pt>
                <c:pt idx="10">
                  <c:v>0.52</c:v>
                </c:pt>
                <c:pt idx="11">
                  <c:v>0.09</c:v>
                </c:pt>
                <c:pt idx="12">
                  <c:v>0.47</c:v>
                </c:pt>
                <c:pt idx="13">
                  <c:v>0.23</c:v>
                </c:pt>
                <c:pt idx="14">
                  <c:v>0.55000000000000004</c:v>
                </c:pt>
                <c:pt idx="15">
                  <c:v>0.53</c:v>
                </c:pt>
                <c:pt idx="16">
                  <c:v>0.32</c:v>
                </c:pt>
                <c:pt idx="17">
                  <c:v>0.47</c:v>
                </c:pt>
                <c:pt idx="18">
                  <c:v>0.34</c:v>
                </c:pt>
                <c:pt idx="19">
                  <c:v>0.2</c:v>
                </c:pt>
                <c:pt idx="20">
                  <c:v>0.18</c:v>
                </c:pt>
                <c:pt idx="21">
                  <c:v>0.54</c:v>
                </c:pt>
                <c:pt idx="22">
                  <c:v>0.52</c:v>
                </c:pt>
                <c:pt idx="23">
                  <c:v>0.48</c:v>
                </c:pt>
                <c:pt idx="24">
                  <c:v>0.33</c:v>
                </c:pt>
                <c:pt idx="25">
                  <c:v>0.54</c:v>
                </c:pt>
                <c:pt idx="26">
                  <c:v>0.5</c:v>
                </c:pt>
                <c:pt idx="27">
                  <c:v>0.47</c:v>
                </c:pt>
                <c:pt idx="28">
                  <c:v>0.37</c:v>
                </c:pt>
                <c:pt idx="29">
                  <c:v>0.47</c:v>
                </c:pt>
                <c:pt idx="30">
                  <c:v>0.45</c:v>
                </c:pt>
                <c:pt idx="31">
                  <c:v>0.43</c:v>
                </c:pt>
                <c:pt idx="32">
                  <c:v>0.42</c:v>
                </c:pt>
                <c:pt idx="33">
                  <c:v>0.35</c:v>
                </c:pt>
                <c:pt idx="34">
                  <c:v>0.13</c:v>
                </c:pt>
                <c:pt idx="35">
                  <c:v>0.55000000000000004</c:v>
                </c:pt>
                <c:pt idx="36">
                  <c:v>0.45</c:v>
                </c:pt>
                <c:pt idx="37">
                  <c:v>0.43</c:v>
                </c:pt>
                <c:pt idx="38">
                  <c:v>0.39</c:v>
                </c:pt>
                <c:pt idx="39">
                  <c:v>0.28999999999999998</c:v>
                </c:pt>
                <c:pt idx="40">
                  <c:v>0.26</c:v>
                </c:pt>
                <c:pt idx="41">
                  <c:v>0.19</c:v>
                </c:pt>
                <c:pt idx="42">
                  <c:v>0.49</c:v>
                </c:pt>
                <c:pt idx="43">
                  <c:v>0.53</c:v>
                </c:pt>
                <c:pt idx="44">
                  <c:v>0.51</c:v>
                </c:pt>
                <c:pt idx="45">
                  <c:v>0.46</c:v>
                </c:pt>
                <c:pt idx="46">
                  <c:v>0.38</c:v>
                </c:pt>
                <c:pt idx="47">
                  <c:v>0.38</c:v>
                </c:pt>
                <c:pt idx="48">
                  <c:v>0.37</c:v>
                </c:pt>
                <c:pt idx="49">
                  <c:v>0.26</c:v>
                </c:pt>
                <c:pt idx="50">
                  <c:v>0.5</c:v>
                </c:pt>
                <c:pt idx="51">
                  <c:v>0.49</c:v>
                </c:pt>
                <c:pt idx="52">
                  <c:v>0.49</c:v>
                </c:pt>
                <c:pt idx="53">
                  <c:v>0.46</c:v>
                </c:pt>
                <c:pt idx="54">
                  <c:v>0.4</c:v>
                </c:pt>
                <c:pt idx="55">
                  <c:v>0.21</c:v>
                </c:pt>
                <c:pt idx="56">
                  <c:v>0.64</c:v>
                </c:pt>
                <c:pt idx="57">
                  <c:v>0.61</c:v>
                </c:pt>
                <c:pt idx="58">
                  <c:v>0.55000000000000004</c:v>
                </c:pt>
                <c:pt idx="59">
                  <c:v>0.5</c:v>
                </c:pt>
                <c:pt idx="60">
                  <c:v>0.5</c:v>
                </c:pt>
                <c:pt idx="61">
                  <c:v>0.5</c:v>
                </c:pt>
                <c:pt idx="62">
                  <c:v>0.5</c:v>
                </c:pt>
                <c:pt idx="63">
                  <c:v>0.5</c:v>
                </c:pt>
                <c:pt idx="64">
                  <c:v>0.49</c:v>
                </c:pt>
                <c:pt idx="65">
                  <c:v>0.49</c:v>
                </c:pt>
                <c:pt idx="66">
                  <c:v>0.49</c:v>
                </c:pt>
                <c:pt idx="67">
                  <c:v>0.49</c:v>
                </c:pt>
                <c:pt idx="68">
                  <c:v>0.49</c:v>
                </c:pt>
                <c:pt idx="69">
                  <c:v>0.49</c:v>
                </c:pt>
                <c:pt idx="70">
                  <c:v>0.49</c:v>
                </c:pt>
                <c:pt idx="71">
                  <c:v>0.49</c:v>
                </c:pt>
                <c:pt idx="72">
                  <c:v>0.49</c:v>
                </c:pt>
                <c:pt idx="73">
                  <c:v>0.48</c:v>
                </c:pt>
                <c:pt idx="74">
                  <c:v>0.48</c:v>
                </c:pt>
                <c:pt idx="75">
                  <c:v>0.48</c:v>
                </c:pt>
                <c:pt idx="76">
                  <c:v>0.47</c:v>
                </c:pt>
                <c:pt idx="77">
                  <c:v>0.47</c:v>
                </c:pt>
                <c:pt idx="78">
                  <c:v>0.47</c:v>
                </c:pt>
                <c:pt idx="79">
                  <c:v>0.46</c:v>
                </c:pt>
                <c:pt idx="80">
                  <c:v>0.45</c:v>
                </c:pt>
                <c:pt idx="81">
                  <c:v>0.43</c:v>
                </c:pt>
                <c:pt idx="82">
                  <c:v>0.43</c:v>
                </c:pt>
                <c:pt idx="83">
                  <c:v>0.42</c:v>
                </c:pt>
                <c:pt idx="84">
                  <c:v>0.42</c:v>
                </c:pt>
                <c:pt idx="85">
                  <c:v>0.42</c:v>
                </c:pt>
                <c:pt idx="86">
                  <c:v>0.41</c:v>
                </c:pt>
                <c:pt idx="87">
                  <c:v>0.41</c:v>
                </c:pt>
                <c:pt idx="88">
                  <c:v>0.38</c:v>
                </c:pt>
                <c:pt idx="89">
                  <c:v>0.38</c:v>
                </c:pt>
                <c:pt idx="90">
                  <c:v>0.36</c:v>
                </c:pt>
                <c:pt idx="91">
                  <c:v>0.34</c:v>
                </c:pt>
                <c:pt idx="92">
                  <c:v>0.34</c:v>
                </c:pt>
                <c:pt idx="93">
                  <c:v>0.33</c:v>
                </c:pt>
                <c:pt idx="94">
                  <c:v>0.27</c:v>
                </c:pt>
                <c:pt idx="95">
                  <c:v>0.24</c:v>
                </c:pt>
                <c:pt idx="96">
                  <c:v>0.22</c:v>
                </c:pt>
                <c:pt idx="97">
                  <c:v>0.14000000000000001</c:v>
                </c:pt>
                <c:pt idx="98">
                  <c:v>0.14000000000000001</c:v>
                </c:pt>
                <c:pt idx="99">
                  <c:v>0.11</c:v>
                </c:pt>
                <c:pt idx="100">
                  <c:v>0.08</c:v>
                </c:pt>
                <c:pt idx="101">
                  <c:v>0.04</c:v>
                </c:pt>
                <c:pt idx="102">
                  <c:v>0.04</c:v>
                </c:pt>
                <c:pt idx="103">
                  <c:v>0.03</c:v>
                </c:pt>
                <c:pt idx="104">
                  <c:v>0.02</c:v>
                </c:pt>
                <c:pt idx="105">
                  <c:v>0.02</c:v>
                </c:pt>
                <c:pt idx="106">
                  <c:v>0.02</c:v>
                </c:pt>
                <c:pt idx="107">
                  <c:v>0.02</c:v>
                </c:pt>
                <c:pt idx="108">
                  <c:v>0.02</c:v>
                </c:pt>
                <c:pt idx="109">
                  <c:v>0.02</c:v>
                </c:pt>
                <c:pt idx="110">
                  <c:v>0.01</c:v>
                </c:pt>
              </c:numCache>
            </c:numRef>
          </c:xVal>
          <c:yVal>
            <c:numRef>
              <c:f>Excel_jumia_dataset!$F$2:$F$114</c:f>
              <c:numCache>
                <c:formatCode>0</c:formatCode>
                <c:ptCount val="111"/>
                <c:pt idx="0">
                  <c:v>49</c:v>
                </c:pt>
                <c:pt idx="1">
                  <c:v>44</c:v>
                </c:pt>
                <c:pt idx="2">
                  <c:v>39</c:v>
                </c:pt>
                <c:pt idx="3">
                  <c:v>36</c:v>
                </c:pt>
                <c:pt idx="4">
                  <c:v>32</c:v>
                </c:pt>
                <c:pt idx="5">
                  <c:v>24</c:v>
                </c:pt>
                <c:pt idx="6">
                  <c:v>20</c:v>
                </c:pt>
                <c:pt idx="7">
                  <c:v>20</c:v>
                </c:pt>
                <c:pt idx="8">
                  <c:v>17</c:v>
                </c:pt>
                <c:pt idx="9">
                  <c:v>16</c:v>
                </c:pt>
                <c:pt idx="10">
                  <c:v>15</c:v>
                </c:pt>
                <c:pt idx="11">
                  <c:v>15</c:v>
                </c:pt>
                <c:pt idx="12">
                  <c:v>14</c:v>
                </c:pt>
                <c:pt idx="13">
                  <c:v>14</c:v>
                </c:pt>
                <c:pt idx="14">
                  <c:v>13</c:v>
                </c:pt>
                <c:pt idx="15">
                  <c:v>13</c:v>
                </c:pt>
                <c:pt idx="16">
                  <c:v>13</c:v>
                </c:pt>
                <c:pt idx="17">
                  <c:v>12</c:v>
                </c:pt>
                <c:pt idx="18">
                  <c:v>12</c:v>
                </c:pt>
                <c:pt idx="19">
                  <c:v>12</c:v>
                </c:pt>
                <c:pt idx="20">
                  <c:v>12</c:v>
                </c:pt>
                <c:pt idx="21">
                  <c:v>10</c:v>
                </c:pt>
                <c:pt idx="22">
                  <c:v>9</c:v>
                </c:pt>
                <c:pt idx="23">
                  <c:v>9</c:v>
                </c:pt>
                <c:pt idx="24">
                  <c:v>9</c:v>
                </c:pt>
                <c:pt idx="25">
                  <c:v>7</c:v>
                </c:pt>
                <c:pt idx="26">
                  <c:v>7</c:v>
                </c:pt>
                <c:pt idx="27">
                  <c:v>7</c:v>
                </c:pt>
                <c:pt idx="28">
                  <c:v>7</c:v>
                </c:pt>
                <c:pt idx="29">
                  <c:v>6</c:v>
                </c:pt>
                <c:pt idx="30">
                  <c:v>6</c:v>
                </c:pt>
                <c:pt idx="31">
                  <c:v>6</c:v>
                </c:pt>
                <c:pt idx="32">
                  <c:v>6</c:v>
                </c:pt>
                <c:pt idx="33">
                  <c:v>6</c:v>
                </c:pt>
                <c:pt idx="34">
                  <c:v>6</c:v>
                </c:pt>
                <c:pt idx="35">
                  <c:v>5</c:v>
                </c:pt>
                <c:pt idx="36">
                  <c:v>5</c:v>
                </c:pt>
                <c:pt idx="37">
                  <c:v>5</c:v>
                </c:pt>
                <c:pt idx="38">
                  <c:v>5</c:v>
                </c:pt>
                <c:pt idx="39">
                  <c:v>5</c:v>
                </c:pt>
                <c:pt idx="40">
                  <c:v>5</c:v>
                </c:pt>
                <c:pt idx="41">
                  <c:v>5</c:v>
                </c:pt>
                <c:pt idx="42">
                  <c:v>3</c:v>
                </c:pt>
                <c:pt idx="43">
                  <c:v>2</c:v>
                </c:pt>
                <c:pt idx="44">
                  <c:v>2</c:v>
                </c:pt>
                <c:pt idx="45">
                  <c:v>2</c:v>
                </c:pt>
                <c:pt idx="46">
                  <c:v>2</c:v>
                </c:pt>
                <c:pt idx="47">
                  <c:v>2</c:v>
                </c:pt>
                <c:pt idx="48">
                  <c:v>2</c:v>
                </c:pt>
                <c:pt idx="49">
                  <c:v>2</c:v>
                </c:pt>
                <c:pt idx="50">
                  <c:v>1</c:v>
                </c:pt>
                <c:pt idx="51">
                  <c:v>1</c:v>
                </c:pt>
                <c:pt idx="52">
                  <c:v>1</c:v>
                </c:pt>
                <c:pt idx="53">
                  <c:v>1</c:v>
                </c:pt>
                <c:pt idx="54">
                  <c:v>1</c:v>
                </c:pt>
                <c:pt idx="55">
                  <c:v>1</c:v>
                </c:pt>
              </c:numCache>
            </c:numRef>
          </c:yVal>
          <c:smooth val="0"/>
          <c:extLst>
            <c:ext xmlns:c16="http://schemas.microsoft.com/office/drawing/2014/chart" uri="{C3380CC4-5D6E-409C-BE32-E72D297353CC}">
              <c16:uniqueId val="{00000001-D967-43E7-B16F-6D760FB63BB0}"/>
            </c:ext>
          </c:extLst>
        </c:ser>
        <c:dLbls>
          <c:showLegendKey val="0"/>
          <c:showVal val="0"/>
          <c:showCatName val="0"/>
          <c:showSerName val="0"/>
          <c:showPercent val="0"/>
          <c:showBubbleSize val="0"/>
        </c:dLbls>
        <c:axId val="935436720"/>
        <c:axId val="935440080"/>
      </c:scatterChart>
      <c:valAx>
        <c:axId val="935436720"/>
        <c:scaling>
          <c:orientation val="minMax"/>
          <c:min val="8.0000000000000016E-2"/>
        </c:scaling>
        <c:delete val="0"/>
        <c:axPos val="b"/>
        <c:title>
          <c:tx>
            <c:rich>
              <a:bodyPr rot="0" spcFirstLastPara="1" vertOverflow="ellipsis" vert="horz" wrap="square" anchor="ctr" anchorCtr="1"/>
              <a:lstStyle/>
              <a:p>
                <a:pPr algn="ctr" rtl="0">
                  <a:defRPr lang="en-US" sz="900" b="0" i="0" u="none" strike="noStrike" kern="1200" baseline="0">
                    <a:solidFill>
                      <a:schemeClr val="tx1"/>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lgn="ctr" rtl="0">
                <a:defRPr lang="en-US" sz="9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935440080"/>
        <c:crosses val="autoZero"/>
        <c:crossBetween val="midCat"/>
      </c:valAx>
      <c:valAx>
        <c:axId val="935440080"/>
        <c:scaling>
          <c:orientation val="minMax"/>
        </c:scaling>
        <c:delete val="0"/>
        <c:axPos val="l"/>
        <c:title>
          <c:tx>
            <c:rich>
              <a:bodyPr rot="-5400000" spcFirstLastPara="1" vertOverflow="ellipsis" vert="horz" wrap="square" anchor="ctr" anchorCtr="1"/>
              <a:lstStyle/>
              <a:p>
                <a:pPr algn="ctr" rtl="0">
                  <a:defRPr lang="en-US" sz="900" b="0" i="0" u="none" strike="noStrike" kern="1200" baseline="0">
                    <a:solidFill>
                      <a:schemeClr val="tx1"/>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lgn="ctr" rtl="0">
                <a:defRPr lang="en-US" sz="9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935436720"/>
        <c:crosses val="autoZero"/>
        <c:crossBetween val="midCat"/>
      </c:valAx>
      <c:spPr>
        <a:noFill/>
        <a:ln>
          <a:noFill/>
        </a:ln>
        <a:effectLst/>
      </c:spPr>
    </c:plotArea>
    <c:plotVisOnly val="1"/>
    <c:dispBlanksAs val="gap"/>
    <c:showDLblsOverMax val="0"/>
  </c:chart>
  <c:spPr>
    <a:solidFill>
      <a:schemeClr val="bg1"/>
    </a:solidFill>
    <a:ln w="9525" cap="flat" cmpd="sng" algn="ctr">
      <a:solidFill>
        <a:srgbClr val="523046"/>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r>
              <a:rPr lang="en-US" sz="1400"/>
              <a:t>Review VS Rating</a:t>
            </a:r>
          </a:p>
        </c:rich>
      </c:tx>
      <c:layout>
        <c:manualLayout>
          <c:xMode val="edge"/>
          <c:yMode val="edge"/>
          <c:x val="0.36446047563251616"/>
          <c:y val="3.2407395593687813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8.1679174795284082E-2"/>
                  <c:y val="-0.15585047838324845"/>
                </c:manualLayout>
              </c:layout>
              <c:numFmt formatCode="General" sourceLinked="0"/>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trendlineLbl>
          </c:trendline>
          <c:xVal>
            <c:numRef>
              <c:f>Excel_jumia_dataset!$F$2:$F$114</c:f>
              <c:numCache>
                <c:formatCode>0</c:formatCode>
                <c:ptCount val="111"/>
                <c:pt idx="0">
                  <c:v>49</c:v>
                </c:pt>
                <c:pt idx="1">
                  <c:v>44</c:v>
                </c:pt>
                <c:pt idx="2">
                  <c:v>39</c:v>
                </c:pt>
                <c:pt idx="3">
                  <c:v>36</c:v>
                </c:pt>
                <c:pt idx="4">
                  <c:v>32</c:v>
                </c:pt>
                <c:pt idx="5">
                  <c:v>24</c:v>
                </c:pt>
                <c:pt idx="6">
                  <c:v>20</c:v>
                </c:pt>
                <c:pt idx="7">
                  <c:v>20</c:v>
                </c:pt>
                <c:pt idx="8">
                  <c:v>17</c:v>
                </c:pt>
                <c:pt idx="9">
                  <c:v>16</c:v>
                </c:pt>
                <c:pt idx="10">
                  <c:v>15</c:v>
                </c:pt>
                <c:pt idx="11">
                  <c:v>15</c:v>
                </c:pt>
                <c:pt idx="12">
                  <c:v>14</c:v>
                </c:pt>
                <c:pt idx="13">
                  <c:v>14</c:v>
                </c:pt>
                <c:pt idx="14">
                  <c:v>13</c:v>
                </c:pt>
                <c:pt idx="15">
                  <c:v>13</c:v>
                </c:pt>
                <c:pt idx="16">
                  <c:v>13</c:v>
                </c:pt>
                <c:pt idx="17">
                  <c:v>12</c:v>
                </c:pt>
                <c:pt idx="18">
                  <c:v>12</c:v>
                </c:pt>
                <c:pt idx="19">
                  <c:v>12</c:v>
                </c:pt>
                <c:pt idx="20">
                  <c:v>12</c:v>
                </c:pt>
                <c:pt idx="21">
                  <c:v>10</c:v>
                </c:pt>
                <c:pt idx="22">
                  <c:v>9</c:v>
                </c:pt>
                <c:pt idx="23">
                  <c:v>9</c:v>
                </c:pt>
                <c:pt idx="24">
                  <c:v>9</c:v>
                </c:pt>
                <c:pt idx="25">
                  <c:v>7</c:v>
                </c:pt>
                <c:pt idx="26">
                  <c:v>7</c:v>
                </c:pt>
                <c:pt idx="27">
                  <c:v>7</c:v>
                </c:pt>
                <c:pt idx="28">
                  <c:v>7</c:v>
                </c:pt>
                <c:pt idx="29">
                  <c:v>6</c:v>
                </c:pt>
                <c:pt idx="30">
                  <c:v>6</c:v>
                </c:pt>
                <c:pt idx="31">
                  <c:v>6</c:v>
                </c:pt>
                <c:pt idx="32">
                  <c:v>6</c:v>
                </c:pt>
                <c:pt idx="33">
                  <c:v>6</c:v>
                </c:pt>
                <c:pt idx="34">
                  <c:v>6</c:v>
                </c:pt>
                <c:pt idx="35">
                  <c:v>5</c:v>
                </c:pt>
                <c:pt idx="36">
                  <c:v>5</c:v>
                </c:pt>
                <c:pt idx="37">
                  <c:v>5</c:v>
                </c:pt>
                <c:pt idx="38">
                  <c:v>5</c:v>
                </c:pt>
                <c:pt idx="39">
                  <c:v>5</c:v>
                </c:pt>
                <c:pt idx="40">
                  <c:v>5</c:v>
                </c:pt>
                <c:pt idx="41">
                  <c:v>5</c:v>
                </c:pt>
                <c:pt idx="42">
                  <c:v>3</c:v>
                </c:pt>
                <c:pt idx="43">
                  <c:v>2</c:v>
                </c:pt>
                <c:pt idx="44">
                  <c:v>2</c:v>
                </c:pt>
                <c:pt idx="45">
                  <c:v>2</c:v>
                </c:pt>
                <c:pt idx="46">
                  <c:v>2</c:v>
                </c:pt>
                <c:pt idx="47">
                  <c:v>2</c:v>
                </c:pt>
                <c:pt idx="48">
                  <c:v>2</c:v>
                </c:pt>
                <c:pt idx="49">
                  <c:v>2</c:v>
                </c:pt>
                <c:pt idx="50">
                  <c:v>1</c:v>
                </c:pt>
                <c:pt idx="51">
                  <c:v>1</c:v>
                </c:pt>
                <c:pt idx="52">
                  <c:v>1</c:v>
                </c:pt>
                <c:pt idx="53">
                  <c:v>1</c:v>
                </c:pt>
                <c:pt idx="54">
                  <c:v>1</c:v>
                </c:pt>
                <c:pt idx="55">
                  <c:v>1</c:v>
                </c:pt>
              </c:numCache>
            </c:numRef>
          </c:xVal>
          <c:yVal>
            <c:numRef>
              <c:f>Excel_jumia_dataset!$G$2:$G$114</c:f>
              <c:numCache>
                <c:formatCode>General</c:formatCode>
                <c:ptCount val="111"/>
                <c:pt idx="0">
                  <c:v>4.5999999999999996</c:v>
                </c:pt>
                <c:pt idx="1">
                  <c:v>4.5999999999999996</c:v>
                </c:pt>
                <c:pt idx="2">
                  <c:v>4.7</c:v>
                </c:pt>
                <c:pt idx="3">
                  <c:v>4.3</c:v>
                </c:pt>
                <c:pt idx="4">
                  <c:v>4.5</c:v>
                </c:pt>
                <c:pt idx="5">
                  <c:v>4.5999999999999996</c:v>
                </c:pt>
                <c:pt idx="6">
                  <c:v>4.0999999999999996</c:v>
                </c:pt>
                <c:pt idx="7">
                  <c:v>4.7</c:v>
                </c:pt>
                <c:pt idx="8">
                  <c:v>2.6</c:v>
                </c:pt>
                <c:pt idx="9">
                  <c:v>2.9</c:v>
                </c:pt>
                <c:pt idx="10">
                  <c:v>2.7</c:v>
                </c:pt>
                <c:pt idx="11">
                  <c:v>4</c:v>
                </c:pt>
                <c:pt idx="12">
                  <c:v>4.0999999999999996</c:v>
                </c:pt>
                <c:pt idx="13">
                  <c:v>4.4000000000000004</c:v>
                </c:pt>
                <c:pt idx="14">
                  <c:v>2.1</c:v>
                </c:pt>
                <c:pt idx="15">
                  <c:v>3.3</c:v>
                </c:pt>
                <c:pt idx="16">
                  <c:v>3.8</c:v>
                </c:pt>
                <c:pt idx="17">
                  <c:v>4.8</c:v>
                </c:pt>
                <c:pt idx="18">
                  <c:v>4.7</c:v>
                </c:pt>
                <c:pt idx="19">
                  <c:v>4.0999999999999996</c:v>
                </c:pt>
                <c:pt idx="20">
                  <c:v>3.8</c:v>
                </c:pt>
                <c:pt idx="21">
                  <c:v>3</c:v>
                </c:pt>
                <c:pt idx="22">
                  <c:v>4.3</c:v>
                </c:pt>
                <c:pt idx="23">
                  <c:v>4.3</c:v>
                </c:pt>
                <c:pt idx="24">
                  <c:v>4.2</c:v>
                </c:pt>
                <c:pt idx="25">
                  <c:v>4.3</c:v>
                </c:pt>
                <c:pt idx="26">
                  <c:v>2.2999999999999998</c:v>
                </c:pt>
                <c:pt idx="27">
                  <c:v>2.1</c:v>
                </c:pt>
                <c:pt idx="28">
                  <c:v>4.7</c:v>
                </c:pt>
                <c:pt idx="29">
                  <c:v>2.2000000000000002</c:v>
                </c:pt>
                <c:pt idx="30">
                  <c:v>2.2000000000000002</c:v>
                </c:pt>
                <c:pt idx="31">
                  <c:v>2.2999999999999998</c:v>
                </c:pt>
                <c:pt idx="32">
                  <c:v>4.5</c:v>
                </c:pt>
                <c:pt idx="33">
                  <c:v>4</c:v>
                </c:pt>
                <c:pt idx="34">
                  <c:v>2.5</c:v>
                </c:pt>
                <c:pt idx="35">
                  <c:v>4.8</c:v>
                </c:pt>
                <c:pt idx="36">
                  <c:v>3.8</c:v>
                </c:pt>
                <c:pt idx="37">
                  <c:v>3</c:v>
                </c:pt>
                <c:pt idx="38">
                  <c:v>3</c:v>
                </c:pt>
                <c:pt idx="39">
                  <c:v>3</c:v>
                </c:pt>
                <c:pt idx="40">
                  <c:v>4.8</c:v>
                </c:pt>
                <c:pt idx="41">
                  <c:v>4.5999999999999996</c:v>
                </c:pt>
                <c:pt idx="42">
                  <c:v>5</c:v>
                </c:pt>
                <c:pt idx="43">
                  <c:v>5</c:v>
                </c:pt>
                <c:pt idx="44">
                  <c:v>5</c:v>
                </c:pt>
                <c:pt idx="45">
                  <c:v>5</c:v>
                </c:pt>
                <c:pt idx="46">
                  <c:v>4.5</c:v>
                </c:pt>
                <c:pt idx="47">
                  <c:v>4.5</c:v>
                </c:pt>
                <c:pt idx="48">
                  <c:v>4</c:v>
                </c:pt>
                <c:pt idx="49">
                  <c:v>4.5</c:v>
                </c:pt>
                <c:pt idx="50">
                  <c:v>2</c:v>
                </c:pt>
                <c:pt idx="51">
                  <c:v>5</c:v>
                </c:pt>
                <c:pt idx="52">
                  <c:v>4</c:v>
                </c:pt>
                <c:pt idx="53">
                  <c:v>3</c:v>
                </c:pt>
                <c:pt idx="54">
                  <c:v>5</c:v>
                </c:pt>
                <c:pt idx="55">
                  <c:v>5</c:v>
                </c:pt>
              </c:numCache>
            </c:numRef>
          </c:yVal>
          <c:smooth val="0"/>
          <c:extLst>
            <c:ext xmlns:c16="http://schemas.microsoft.com/office/drawing/2014/chart" uri="{C3380CC4-5D6E-409C-BE32-E72D297353CC}">
              <c16:uniqueId val="{00000001-BC38-45A2-B0DE-9B56C065E89C}"/>
            </c:ext>
          </c:extLst>
        </c:ser>
        <c:dLbls>
          <c:showLegendKey val="0"/>
          <c:showVal val="0"/>
          <c:showCatName val="0"/>
          <c:showSerName val="0"/>
          <c:showPercent val="0"/>
          <c:showBubbleSize val="0"/>
        </c:dLbls>
        <c:axId val="812062704"/>
        <c:axId val="812068464"/>
      </c:scatterChart>
      <c:valAx>
        <c:axId val="812062704"/>
        <c:scaling>
          <c:orientation val="minMax"/>
        </c:scaling>
        <c:delete val="0"/>
        <c:axPos val="b"/>
        <c:title>
          <c:tx>
            <c:rich>
              <a:bodyPr rot="0" spcFirstLastPara="1" vertOverflow="ellipsis" vert="horz" wrap="square" anchor="ctr" anchorCtr="1"/>
              <a:lstStyle/>
              <a:p>
                <a:pPr>
                  <a:defRPr lang="en-US" sz="1050" b="0" i="0" u="none" strike="noStrike" kern="1200" baseline="0">
                    <a:solidFill>
                      <a:schemeClr val="tx1"/>
                    </a:solidFill>
                    <a:latin typeface="+mn-lt"/>
                    <a:ea typeface="+mn-ea"/>
                    <a:cs typeface="+mn-cs"/>
                  </a:defRPr>
                </a:pPr>
                <a:r>
                  <a:rPr lang="en-US" sz="1050"/>
                  <a:t>Reviews</a:t>
                </a:r>
              </a:p>
            </c:rich>
          </c:tx>
          <c:overlay val="0"/>
          <c:spPr>
            <a:noFill/>
            <a:ln>
              <a:noFill/>
            </a:ln>
            <a:effectLst/>
          </c:spPr>
          <c:txPr>
            <a:bodyPr rot="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812068464"/>
        <c:crosses val="autoZero"/>
        <c:crossBetween val="midCat"/>
      </c:valAx>
      <c:valAx>
        <c:axId val="812068464"/>
        <c:scaling>
          <c:orientation val="minMax"/>
        </c:scaling>
        <c:delete val="0"/>
        <c:axPos val="l"/>
        <c:title>
          <c:tx>
            <c:rich>
              <a:bodyPr rot="-5400000" spcFirstLastPara="1" vertOverflow="ellipsis" vert="horz" wrap="square" anchor="ctr" anchorCtr="1"/>
              <a:lstStyle/>
              <a:p>
                <a:pPr algn="ctr" rtl="0">
                  <a:defRPr lang="en-US" sz="1050" b="0" i="0" u="none" strike="noStrike" kern="1200" baseline="0">
                    <a:solidFill>
                      <a:sysClr val="windowText" lastClr="000000"/>
                    </a:solidFill>
                    <a:latin typeface="+mn-lt"/>
                    <a:ea typeface="+mn-ea"/>
                    <a:cs typeface="+mn-cs"/>
                  </a:defRPr>
                </a:pPr>
                <a:r>
                  <a:rPr lang="en-US" sz="1050" b="0" i="0" u="none" strike="noStrike" kern="1200" baseline="0">
                    <a:solidFill>
                      <a:sysClr val="windowText" lastClr="000000"/>
                    </a:solidFill>
                    <a:latin typeface="+mn-lt"/>
                    <a:ea typeface="+mn-ea"/>
                    <a:cs typeface="+mn-cs"/>
                  </a:rPr>
                  <a:t>Ratings</a:t>
                </a:r>
              </a:p>
            </c:rich>
          </c:tx>
          <c:overlay val="0"/>
          <c:spPr>
            <a:noFill/>
            <a:ln>
              <a:noFill/>
            </a:ln>
            <a:effectLst/>
          </c:spPr>
          <c:txPr>
            <a:bodyPr rot="-5400000" spcFirstLastPara="1" vertOverflow="ellipsis" vert="horz" wrap="square" anchor="ctr" anchorCtr="1"/>
            <a:lstStyle/>
            <a:p>
              <a:pPr algn="ctr" rtl="0">
                <a:defRPr lang="en-US" sz="105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812062704"/>
        <c:crosses val="autoZero"/>
        <c:crossBetween val="midCat"/>
      </c:valAx>
      <c:spPr>
        <a:noFill/>
        <a:ln>
          <a:noFill/>
        </a:ln>
        <a:effectLst/>
      </c:spPr>
    </c:plotArea>
    <c:plotVisOnly val="1"/>
    <c:dispBlanksAs val="gap"/>
    <c:showDLblsOverMax val="0"/>
  </c:chart>
  <c:spPr>
    <a:solidFill>
      <a:schemeClr val="bg1"/>
    </a:solidFill>
    <a:ln w="9525" cap="flat" cmpd="sng" algn="ctr">
      <a:solidFill>
        <a:srgbClr val="523046"/>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[Excel_jumia_dataset (Recovered).xlsx]Excel_jumia_dataset!PivotTable6</c:name>
    <c:fmtId val="13"/>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solidFill>
                <a:latin typeface="+mn-lt"/>
                <a:ea typeface="+mn-ea"/>
                <a:cs typeface="+mn-cs"/>
              </a:defRPr>
            </a:pPr>
            <a:r>
              <a:rPr lang="en-US" sz="1400" b="0" i="0" u="none" strike="noStrike" kern="1200" spc="0" baseline="0">
                <a:solidFill>
                  <a:sysClr val="windowText" lastClr="000000"/>
                </a:solidFill>
                <a:latin typeface="+mn-lt"/>
                <a:ea typeface="+mn-ea"/>
                <a:cs typeface="+mn-cs"/>
              </a:rPr>
              <a:t>Ratings Distribution</a:t>
            </a:r>
          </a:p>
        </c:rich>
      </c:tx>
      <c:layout>
        <c:manualLayout>
          <c:xMode val="edge"/>
          <c:yMode val="edge"/>
          <c:x val="0.3667775738558996"/>
          <c:y val="6.5091066350191421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28575">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8575">
            <a:solidFill>
              <a:schemeClr val="lt1"/>
            </a:solidFill>
          </a:ln>
          <a:effectLst/>
        </c:spPr>
        <c:dLbl>
          <c:idx val="0"/>
          <c:layout>
            <c:manualLayout>
              <c:x val="0.1222222222222222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8575">
            <a:solidFill>
              <a:schemeClr val="lt1"/>
            </a:solidFill>
          </a:ln>
          <a:effectLst/>
        </c:spPr>
        <c:dLbl>
          <c:idx val="0"/>
          <c:layout>
            <c:manualLayout>
              <c:x val="0.125"/>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8575">
            <a:solidFill>
              <a:schemeClr val="lt1"/>
            </a:solidFill>
          </a:ln>
          <a:effectLst/>
        </c:spPr>
        <c:dLbl>
          <c:idx val="0"/>
          <c:layout>
            <c:manualLayout>
              <c:x val="-0.11666666666666667"/>
              <c:y val="2.314814814814797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8575">
            <a:solidFill>
              <a:schemeClr val="lt1"/>
            </a:solidFill>
          </a:ln>
          <a:effectLst/>
        </c:spPr>
        <c:dLbl>
          <c:idx val="0"/>
          <c:layout>
            <c:manualLayout>
              <c:x val="-0.21666666666666667"/>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Excel_jumia_dataset!$U$55</c:f>
              <c:strCache>
                <c:ptCount val="1"/>
                <c:pt idx="0">
                  <c:v>Total</c:v>
                </c:pt>
              </c:strCache>
            </c:strRef>
          </c:tx>
          <c:spPr>
            <a:ln w="28575"/>
          </c:spPr>
          <c:dPt>
            <c:idx val="0"/>
            <c:bubble3D val="0"/>
            <c:spPr>
              <a:solidFill>
                <a:schemeClr val="accent1"/>
              </a:solidFill>
              <a:ln w="28575">
                <a:solidFill>
                  <a:schemeClr val="lt1"/>
                </a:solidFill>
              </a:ln>
              <a:effectLst/>
            </c:spPr>
            <c:extLst>
              <c:ext xmlns:c16="http://schemas.microsoft.com/office/drawing/2014/chart" uri="{C3380CC4-5D6E-409C-BE32-E72D297353CC}">
                <c16:uniqueId val="{00000001-B3C7-4B6F-B4DF-38212C504513}"/>
              </c:ext>
            </c:extLst>
          </c:dPt>
          <c:dPt>
            <c:idx val="1"/>
            <c:bubble3D val="0"/>
            <c:spPr>
              <a:solidFill>
                <a:schemeClr val="accent2"/>
              </a:solidFill>
              <a:ln w="28575">
                <a:solidFill>
                  <a:schemeClr val="lt1"/>
                </a:solidFill>
              </a:ln>
              <a:effectLst/>
            </c:spPr>
            <c:extLst>
              <c:ext xmlns:c16="http://schemas.microsoft.com/office/drawing/2014/chart" uri="{C3380CC4-5D6E-409C-BE32-E72D297353CC}">
                <c16:uniqueId val="{00000003-B3C7-4B6F-B4DF-38212C504513}"/>
              </c:ext>
            </c:extLst>
          </c:dPt>
          <c:dPt>
            <c:idx val="2"/>
            <c:bubble3D val="0"/>
            <c:spPr>
              <a:solidFill>
                <a:schemeClr val="accent3"/>
              </a:solidFill>
              <a:ln w="28575">
                <a:solidFill>
                  <a:schemeClr val="lt1"/>
                </a:solidFill>
              </a:ln>
              <a:effectLst/>
            </c:spPr>
            <c:extLst>
              <c:ext xmlns:c16="http://schemas.microsoft.com/office/drawing/2014/chart" uri="{C3380CC4-5D6E-409C-BE32-E72D297353CC}">
                <c16:uniqueId val="{00000005-B3C7-4B6F-B4DF-38212C504513}"/>
              </c:ext>
            </c:extLst>
          </c:dPt>
          <c:dPt>
            <c:idx val="3"/>
            <c:bubble3D val="0"/>
            <c:spPr>
              <a:solidFill>
                <a:schemeClr val="accent4"/>
              </a:solidFill>
              <a:ln w="28575">
                <a:solidFill>
                  <a:schemeClr val="lt1"/>
                </a:solidFill>
              </a:ln>
              <a:effectLst/>
            </c:spPr>
            <c:extLst>
              <c:ext xmlns:c16="http://schemas.microsoft.com/office/drawing/2014/chart" uri="{C3380CC4-5D6E-409C-BE32-E72D297353CC}">
                <c16:uniqueId val="{00000007-B3C7-4B6F-B4DF-38212C504513}"/>
              </c:ext>
            </c:extLst>
          </c:dPt>
          <c:dLbls>
            <c:dLbl>
              <c:idx val="0"/>
              <c:layout>
                <c:manualLayout>
                  <c:x val="0.12222222222222222"/>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3C7-4B6F-B4DF-38212C504513}"/>
                </c:ext>
              </c:extLst>
            </c:dLbl>
            <c:dLbl>
              <c:idx val="1"/>
              <c:layout>
                <c:manualLayout>
                  <c:x val="0.125"/>
                  <c:y val="0.143518518518518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3C7-4B6F-B4DF-38212C504513}"/>
                </c:ext>
              </c:extLst>
            </c:dLbl>
            <c:dLbl>
              <c:idx val="2"/>
              <c:layout>
                <c:manualLayout>
                  <c:x val="-0.11666666666666667"/>
                  <c:y val="2.314814814814797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3C7-4B6F-B4DF-38212C504513}"/>
                </c:ext>
              </c:extLst>
            </c:dLbl>
            <c:dLbl>
              <c:idx val="3"/>
              <c:layout>
                <c:manualLayout>
                  <c:x val="-0.21666666666666667"/>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3C7-4B6F-B4DF-38212C50451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Excel_jumia_dataset!$T$56:$T$60</c:f>
              <c:strCache>
                <c:ptCount val="4"/>
                <c:pt idx="0">
                  <c:v>Average</c:v>
                </c:pt>
                <c:pt idx="1">
                  <c:v>Excellent</c:v>
                </c:pt>
                <c:pt idx="2">
                  <c:v>No Rating</c:v>
                </c:pt>
                <c:pt idx="3">
                  <c:v>Poor</c:v>
                </c:pt>
              </c:strCache>
            </c:strRef>
          </c:cat>
          <c:val>
            <c:numRef>
              <c:f>Excel_jumia_dataset!$U$56:$U$60</c:f>
              <c:numCache>
                <c:formatCode>General</c:formatCode>
                <c:ptCount val="4"/>
                <c:pt idx="0">
                  <c:v>22</c:v>
                </c:pt>
                <c:pt idx="1">
                  <c:v>24</c:v>
                </c:pt>
                <c:pt idx="2">
                  <c:v>55</c:v>
                </c:pt>
                <c:pt idx="3">
                  <c:v>12</c:v>
                </c:pt>
              </c:numCache>
            </c:numRef>
          </c:val>
          <c:extLst>
            <c:ext xmlns:c16="http://schemas.microsoft.com/office/drawing/2014/chart" uri="{C3380CC4-5D6E-409C-BE32-E72D297353CC}">
              <c16:uniqueId val="{00000008-B3C7-4B6F-B4DF-38212C504513}"/>
            </c:ext>
          </c:extLst>
        </c:ser>
        <c:dLbls>
          <c:showLegendKey val="0"/>
          <c:showVal val="0"/>
          <c:showCatName val="0"/>
          <c:showSerName val="0"/>
          <c:showPercent val="0"/>
          <c:showBubbleSize val="0"/>
          <c:showLeaderLines val="0"/>
        </c:dLbls>
        <c:firstSliceAng val="3"/>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52304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12</xdr:col>
      <xdr:colOff>3273</xdr:colOff>
      <xdr:row>14</xdr:row>
      <xdr:rowOff>158580</xdr:rowOff>
    </xdr:from>
    <xdr:to>
      <xdr:col>17</xdr:col>
      <xdr:colOff>278886</xdr:colOff>
      <xdr:row>31</xdr:row>
      <xdr:rowOff>3161</xdr:rowOff>
    </xdr:to>
    <xdr:graphicFrame macro="">
      <xdr:nvGraphicFramePr>
        <xdr:cNvPr id="2" name="Chart 1">
          <a:extLst>
            <a:ext uri="{FF2B5EF4-FFF2-40B4-BE49-F238E27FC236}">
              <a16:creationId xmlns:a16="http://schemas.microsoft.com/office/drawing/2014/main" id="{C93F1E4B-FB84-360B-6597-7FCC9EDA6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41050</xdr:colOff>
      <xdr:row>15</xdr:row>
      <xdr:rowOff>7395</xdr:rowOff>
    </xdr:from>
    <xdr:to>
      <xdr:col>24</xdr:col>
      <xdr:colOff>588047</xdr:colOff>
      <xdr:row>31</xdr:row>
      <xdr:rowOff>7396</xdr:rowOff>
    </xdr:to>
    <xdr:graphicFrame macro="">
      <xdr:nvGraphicFramePr>
        <xdr:cNvPr id="3" name="Chart 2">
          <a:extLst>
            <a:ext uri="{FF2B5EF4-FFF2-40B4-BE49-F238E27FC236}">
              <a16:creationId xmlns:a16="http://schemas.microsoft.com/office/drawing/2014/main" id="{DDF54E8E-41C7-B0DA-69DF-A16D3F108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10</xdr:col>
      <xdr:colOff>18869</xdr:colOff>
      <xdr:row>4</xdr:row>
      <xdr:rowOff>56698</xdr:rowOff>
    </xdr:to>
    <xdr:sp macro="" textlink="">
      <xdr:nvSpPr>
        <xdr:cNvPr id="2" name="Rectangle: Rounded Corners 1">
          <a:extLst>
            <a:ext uri="{FF2B5EF4-FFF2-40B4-BE49-F238E27FC236}">
              <a16:creationId xmlns:a16="http://schemas.microsoft.com/office/drawing/2014/main" id="{BEB22DCB-6B45-5F24-55A0-7424E31F4284}"/>
            </a:ext>
          </a:extLst>
        </xdr:cNvPr>
        <xdr:cNvSpPr/>
      </xdr:nvSpPr>
      <xdr:spPr>
        <a:xfrm>
          <a:off x="0" y="1"/>
          <a:ext cx="16347440" cy="737054"/>
        </a:xfrm>
        <a:prstGeom prst="roundRect">
          <a:avLst/>
        </a:prstGeom>
        <a:solidFill>
          <a:srgbClr val="552A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i="0" u="none" strike="noStrike">
              <a:solidFill>
                <a:schemeClr val="bg1"/>
              </a:solidFill>
              <a:latin typeface="Cambria"/>
              <a:ea typeface="Cambria"/>
              <a:cs typeface="+mn-cs"/>
            </a:rPr>
            <a:t>Jumia Product Performance Dashboard</a:t>
          </a:r>
        </a:p>
      </xdr:txBody>
    </xdr:sp>
    <xdr:clientData/>
  </xdr:twoCellAnchor>
  <xdr:twoCellAnchor>
    <xdr:from>
      <xdr:col>0</xdr:col>
      <xdr:colOff>363855</xdr:colOff>
      <xdr:row>5</xdr:row>
      <xdr:rowOff>160655</xdr:rowOff>
    </xdr:from>
    <xdr:to>
      <xdr:col>0</xdr:col>
      <xdr:colOff>2984501</xdr:colOff>
      <xdr:row>11</xdr:row>
      <xdr:rowOff>116416</xdr:rowOff>
    </xdr:to>
    <xdr:sp macro="" textlink="Excel_jumia_dataset!X2">
      <xdr:nvSpPr>
        <xdr:cNvPr id="3" name="Rectangle: Rounded Corners 2">
          <a:extLst>
            <a:ext uri="{FF2B5EF4-FFF2-40B4-BE49-F238E27FC236}">
              <a16:creationId xmlns:a16="http://schemas.microsoft.com/office/drawing/2014/main" id="{17396E36-52D1-DB89-DA1F-82A4A00E0951}"/>
            </a:ext>
          </a:extLst>
        </xdr:cNvPr>
        <xdr:cNvSpPr/>
      </xdr:nvSpPr>
      <xdr:spPr>
        <a:xfrm>
          <a:off x="363855" y="1007322"/>
          <a:ext cx="2620646" cy="971761"/>
        </a:xfrm>
        <a:prstGeom prst="roundRect">
          <a:avLst/>
        </a:prstGeom>
        <a:solidFill>
          <a:srgbClr val="552A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i="0" u="none" strike="noStrike">
              <a:solidFill>
                <a:schemeClr val="bg1"/>
              </a:solidFill>
              <a:latin typeface="Cambria"/>
              <a:ea typeface="Cambria"/>
              <a:cs typeface="+mn-cs"/>
            </a:rPr>
            <a:t>Total Products</a:t>
          </a:r>
        </a:p>
        <a:p>
          <a:pPr marL="0" indent="0" algn="ctr"/>
          <a:fld id="{661382A6-D02A-4BFA-AD9E-332DCDA2D967}" type="TxLink">
            <a:rPr lang="en-US" sz="2000" b="1" i="0" u="none" strike="noStrike">
              <a:solidFill>
                <a:schemeClr val="bg1"/>
              </a:solidFill>
              <a:latin typeface="Cambria"/>
              <a:ea typeface="Cambria"/>
              <a:cs typeface="+mn-cs"/>
            </a:rPr>
            <a:pPr marL="0" indent="0" algn="ctr"/>
            <a:t>112</a:t>
          </a:fld>
          <a:endParaRPr lang="en-US" sz="2000" b="1" i="0" u="none" strike="noStrike">
            <a:solidFill>
              <a:schemeClr val="bg1"/>
            </a:solidFill>
            <a:latin typeface="Cambria"/>
            <a:ea typeface="Cambria"/>
            <a:cs typeface="+mn-cs"/>
          </a:endParaRPr>
        </a:p>
      </xdr:txBody>
    </xdr:sp>
    <xdr:clientData/>
  </xdr:twoCellAnchor>
  <xdr:twoCellAnchor>
    <xdr:from>
      <xdr:col>1</xdr:col>
      <xdr:colOff>251537</xdr:colOff>
      <xdr:row>5</xdr:row>
      <xdr:rowOff>97821</xdr:rowOff>
    </xdr:from>
    <xdr:to>
      <xdr:col>4</xdr:col>
      <xdr:colOff>836739</xdr:colOff>
      <xdr:row>11</xdr:row>
      <xdr:rowOff>123765</xdr:rowOff>
    </xdr:to>
    <xdr:sp macro="" textlink="Excel_jumia_dataset!O5">
      <xdr:nvSpPr>
        <xdr:cNvPr id="4" name="Rectangle: Rounded Corners 3">
          <a:extLst>
            <a:ext uri="{FF2B5EF4-FFF2-40B4-BE49-F238E27FC236}">
              <a16:creationId xmlns:a16="http://schemas.microsoft.com/office/drawing/2014/main" id="{48494A18-C724-45D9-8F70-074DB0A1E675}"/>
            </a:ext>
          </a:extLst>
        </xdr:cNvPr>
        <xdr:cNvSpPr/>
      </xdr:nvSpPr>
      <xdr:spPr>
        <a:xfrm>
          <a:off x="4760037" y="944488"/>
          <a:ext cx="2574869" cy="1041944"/>
        </a:xfrm>
        <a:prstGeom prst="roundRect">
          <a:avLst/>
        </a:prstGeom>
        <a:solidFill>
          <a:srgbClr val="552A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i="0" u="none" strike="noStrike">
              <a:solidFill>
                <a:schemeClr val="bg1"/>
              </a:solidFill>
              <a:latin typeface="Cambria"/>
              <a:ea typeface="Cambria"/>
              <a:cs typeface="+mn-cs"/>
            </a:rPr>
            <a:t>AVG Rating</a:t>
          </a:r>
        </a:p>
        <a:p>
          <a:pPr marL="0" indent="0" algn="ctr"/>
          <a:fld id="{73F8BFFD-1434-4772-B8F5-6B83B54BFB27}" type="TxLink">
            <a:rPr lang="en-US" sz="2000" b="1" i="0" u="none" strike="noStrike">
              <a:solidFill>
                <a:schemeClr val="bg1"/>
              </a:solidFill>
              <a:latin typeface="Cambria"/>
              <a:ea typeface="Cambria"/>
              <a:cs typeface="+mn-cs"/>
            </a:rPr>
            <a:pPr marL="0" indent="0" algn="ctr"/>
            <a:t>3.90</a:t>
          </a:fld>
          <a:endParaRPr lang="en-US" sz="2000" b="1" i="0" u="none" strike="noStrike">
            <a:solidFill>
              <a:schemeClr val="bg1"/>
            </a:solidFill>
            <a:latin typeface="Cambria"/>
            <a:ea typeface="Cambria"/>
            <a:cs typeface="+mn-cs"/>
          </a:endParaRPr>
        </a:p>
      </xdr:txBody>
    </xdr:sp>
    <xdr:clientData/>
  </xdr:twoCellAnchor>
  <xdr:twoCellAnchor>
    <xdr:from>
      <xdr:col>5</xdr:col>
      <xdr:colOff>1278776</xdr:colOff>
      <xdr:row>5</xdr:row>
      <xdr:rowOff>97821</xdr:rowOff>
    </xdr:from>
    <xdr:to>
      <xdr:col>6</xdr:col>
      <xdr:colOff>1613883</xdr:colOff>
      <xdr:row>11</xdr:row>
      <xdr:rowOff>88477</xdr:rowOff>
    </xdr:to>
    <xdr:sp macro="" textlink="Excel_jumia_dataset!O4">
      <xdr:nvSpPr>
        <xdr:cNvPr id="5" name="Rectangle: Rounded Corners 4">
          <a:extLst>
            <a:ext uri="{FF2B5EF4-FFF2-40B4-BE49-F238E27FC236}">
              <a16:creationId xmlns:a16="http://schemas.microsoft.com/office/drawing/2014/main" id="{5764C104-9954-4644-A139-EB56666EBB58}"/>
            </a:ext>
          </a:extLst>
        </xdr:cNvPr>
        <xdr:cNvSpPr/>
      </xdr:nvSpPr>
      <xdr:spPr>
        <a:xfrm>
          <a:off x="9131609" y="944488"/>
          <a:ext cx="2197774" cy="1006656"/>
        </a:xfrm>
        <a:prstGeom prst="roundRect">
          <a:avLst/>
        </a:prstGeom>
        <a:solidFill>
          <a:srgbClr val="552A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i="0" u="none" strike="noStrike">
              <a:solidFill>
                <a:schemeClr val="bg1"/>
              </a:solidFill>
              <a:latin typeface="Cambria"/>
              <a:ea typeface="Cambria"/>
              <a:cs typeface="+mn-cs"/>
            </a:rPr>
            <a:t>AVG Discount</a:t>
          </a:r>
          <a:br>
            <a:rPr lang="en-US" sz="2000" b="1" i="0" u="none" strike="noStrike">
              <a:solidFill>
                <a:schemeClr val="bg1"/>
              </a:solidFill>
              <a:latin typeface="Cambria"/>
              <a:ea typeface="Cambria"/>
              <a:cs typeface="+mn-cs"/>
            </a:rPr>
          </a:br>
          <a:fld id="{4EF485E1-5124-494A-BB16-CF731BE0C159}" type="TxLink">
            <a:rPr lang="en-US" sz="2000" b="1" i="0" u="none" strike="noStrike">
              <a:solidFill>
                <a:schemeClr val="bg1"/>
              </a:solidFill>
              <a:latin typeface="Cambria"/>
              <a:ea typeface="Cambria"/>
              <a:cs typeface="+mn-cs"/>
            </a:rPr>
            <a:pPr marL="0" indent="0" algn="ctr"/>
            <a:t>37%</a:t>
          </a:fld>
          <a:endParaRPr lang="en-US" sz="2000" b="1" i="0" u="none" strike="noStrike">
            <a:solidFill>
              <a:schemeClr val="bg1"/>
            </a:solidFill>
            <a:latin typeface="Cambria"/>
            <a:ea typeface="Cambria"/>
            <a:cs typeface="+mn-cs"/>
          </a:endParaRPr>
        </a:p>
      </xdr:txBody>
    </xdr:sp>
    <xdr:clientData/>
  </xdr:twoCellAnchor>
  <xdr:twoCellAnchor>
    <xdr:from>
      <xdr:col>6</xdr:col>
      <xdr:colOff>3406775</xdr:colOff>
      <xdr:row>5</xdr:row>
      <xdr:rowOff>94011</xdr:rowOff>
    </xdr:from>
    <xdr:to>
      <xdr:col>9</xdr:col>
      <xdr:colOff>712047</xdr:colOff>
      <xdr:row>11</xdr:row>
      <xdr:rowOff>64167</xdr:rowOff>
    </xdr:to>
    <xdr:sp macro="" textlink="Excel_jumia_dataset!X3">
      <xdr:nvSpPr>
        <xdr:cNvPr id="6" name="Rectangle: Rounded Corners 5">
          <a:extLst>
            <a:ext uri="{FF2B5EF4-FFF2-40B4-BE49-F238E27FC236}">
              <a16:creationId xmlns:a16="http://schemas.microsoft.com/office/drawing/2014/main" id="{D4B16BE4-E4C4-4A42-AAEC-A5D79D6E72A9}"/>
            </a:ext>
          </a:extLst>
        </xdr:cNvPr>
        <xdr:cNvSpPr/>
      </xdr:nvSpPr>
      <xdr:spPr>
        <a:xfrm>
          <a:off x="13122275" y="940678"/>
          <a:ext cx="2321772" cy="986156"/>
        </a:xfrm>
        <a:prstGeom prst="roundRect">
          <a:avLst/>
        </a:prstGeom>
        <a:solidFill>
          <a:srgbClr val="552A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i="0" u="none" strike="noStrike">
              <a:solidFill>
                <a:schemeClr val="bg1"/>
              </a:solidFill>
              <a:latin typeface="Cambria"/>
              <a:ea typeface="Cambria"/>
              <a:cs typeface="+mn-cs"/>
            </a:rPr>
            <a:t>Total Reviews</a:t>
          </a:r>
        </a:p>
        <a:p>
          <a:pPr marL="0" indent="0" algn="ctr"/>
          <a:fld id="{6037B7BC-3C31-4F03-A034-043C48FE6D04}" type="TxLink">
            <a:rPr lang="en-US" sz="2000" b="1" i="0" u="none" strike="noStrike">
              <a:solidFill>
                <a:schemeClr val="bg1"/>
              </a:solidFill>
              <a:latin typeface="Cambria"/>
              <a:ea typeface="Cambria"/>
              <a:cs typeface="+mn-cs"/>
            </a:rPr>
            <a:pPr marL="0" indent="0" algn="ctr"/>
            <a:t>56</a:t>
          </a:fld>
          <a:endParaRPr lang="en-US" sz="2000" b="1" i="0" u="none" strike="noStrike">
            <a:solidFill>
              <a:schemeClr val="bg1"/>
            </a:solidFill>
            <a:latin typeface="Cambria"/>
            <a:ea typeface="Cambria"/>
            <a:cs typeface="+mn-cs"/>
          </a:endParaRPr>
        </a:p>
      </xdr:txBody>
    </xdr:sp>
    <xdr:clientData/>
  </xdr:twoCellAnchor>
  <xdr:twoCellAnchor>
    <xdr:from>
      <xdr:col>0</xdr:col>
      <xdr:colOff>4093924</xdr:colOff>
      <xdr:row>30</xdr:row>
      <xdr:rowOff>135096</xdr:rowOff>
    </xdr:from>
    <xdr:to>
      <xdr:col>5</xdr:col>
      <xdr:colOff>1236162</xdr:colOff>
      <xdr:row>48</xdr:row>
      <xdr:rowOff>37430</xdr:rowOff>
    </xdr:to>
    <xdr:graphicFrame macro="">
      <xdr:nvGraphicFramePr>
        <xdr:cNvPr id="11" name="Chart 10">
          <a:extLst>
            <a:ext uri="{FF2B5EF4-FFF2-40B4-BE49-F238E27FC236}">
              <a16:creationId xmlns:a16="http://schemas.microsoft.com/office/drawing/2014/main" id="{71DC6E63-9B8A-46CD-B735-9CA33E1FE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4097734</xdr:colOff>
      <xdr:row>13</xdr:row>
      <xdr:rowOff>18051</xdr:rowOff>
    </xdr:from>
    <xdr:to>
      <xdr:col>5</xdr:col>
      <xdr:colOff>1190704</xdr:colOff>
      <xdr:row>29</xdr:row>
      <xdr:rowOff>54247</xdr:rowOff>
    </xdr:to>
    <xdr:graphicFrame macro="">
      <xdr:nvGraphicFramePr>
        <xdr:cNvPr id="14" name="Chart 13">
          <a:extLst>
            <a:ext uri="{FF2B5EF4-FFF2-40B4-BE49-F238E27FC236}">
              <a16:creationId xmlns:a16="http://schemas.microsoft.com/office/drawing/2014/main" id="{4E42CBE0-287B-450C-B5A3-C57016FCD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95252</xdr:colOff>
      <xdr:row>30</xdr:row>
      <xdr:rowOff>131285</xdr:rowOff>
    </xdr:from>
    <xdr:to>
      <xdr:col>0</xdr:col>
      <xdr:colOff>3640667</xdr:colOff>
      <xdr:row>48</xdr:row>
      <xdr:rowOff>63499</xdr:rowOff>
    </xdr:to>
    <xdr:graphicFrame macro="">
      <xdr:nvGraphicFramePr>
        <xdr:cNvPr id="23" name="Chart 22">
          <a:extLst>
            <a:ext uri="{FF2B5EF4-FFF2-40B4-BE49-F238E27FC236}">
              <a16:creationId xmlns:a16="http://schemas.microsoft.com/office/drawing/2014/main" id="{449B1268-53FB-40C3-AA4E-E15A8415A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158115</xdr:colOff>
      <xdr:row>21</xdr:row>
      <xdr:rowOff>161925</xdr:rowOff>
    </xdr:from>
    <xdr:to>
      <xdr:col>0</xdr:col>
      <xdr:colOff>3408045</xdr:colOff>
      <xdr:row>30</xdr:row>
      <xdr:rowOff>2631</xdr:rowOff>
    </xdr:to>
    <mc:AlternateContent xmlns:mc="http://schemas.openxmlformats.org/markup-compatibility/2006">
      <mc:Choice xmlns:a14="http://schemas.microsoft.com/office/drawing/2010/main" Requires="a14">
        <xdr:graphicFrame macro="">
          <xdr:nvGraphicFramePr>
            <xdr:cNvPr id="26" name="Ratings_performance">
              <a:extLst>
                <a:ext uri="{FF2B5EF4-FFF2-40B4-BE49-F238E27FC236}">
                  <a16:creationId xmlns:a16="http://schemas.microsoft.com/office/drawing/2014/main" id="{0806499B-7FF1-3A0B-E90A-39ECD3F85A16}"/>
                </a:ext>
              </a:extLst>
            </xdr:cNvPr>
            <xdr:cNvGraphicFramePr/>
          </xdr:nvGraphicFramePr>
          <xdr:xfrm>
            <a:off x="0" y="0"/>
            <a:ext cx="0" cy="0"/>
          </xdr:xfrm>
          <a:graphic>
            <a:graphicData uri="http://schemas.microsoft.com/office/drawing/2010/slicer">
              <sle:slicer xmlns:sle="http://schemas.microsoft.com/office/drawing/2010/slicer" name="Ratings_performance"/>
            </a:graphicData>
          </a:graphic>
        </xdr:graphicFrame>
      </mc:Choice>
      <mc:Fallback>
        <xdr:sp macro="" textlink="">
          <xdr:nvSpPr>
            <xdr:cNvPr id="0" name=""/>
            <xdr:cNvSpPr>
              <a:spLocks noTextEdit="1"/>
            </xdr:cNvSpPr>
          </xdr:nvSpPr>
          <xdr:spPr>
            <a:xfrm>
              <a:off x="160020" y="3910330"/>
              <a:ext cx="3251835" cy="1447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193857</xdr:colOff>
      <xdr:row>14</xdr:row>
      <xdr:rowOff>52070</xdr:rowOff>
    </xdr:from>
    <xdr:to>
      <xdr:col>0</xdr:col>
      <xdr:colOff>3411220</xdr:colOff>
      <xdr:row>20</xdr:row>
      <xdr:rowOff>58694</xdr:rowOff>
    </xdr:to>
    <mc:AlternateContent xmlns:mc="http://schemas.openxmlformats.org/markup-compatibility/2006">
      <mc:Choice xmlns:a14="http://schemas.microsoft.com/office/drawing/2010/main" Requires="a14">
        <xdr:graphicFrame macro="">
          <xdr:nvGraphicFramePr>
            <xdr:cNvPr id="27" name="Discount Category">
              <a:extLst>
                <a:ext uri="{FF2B5EF4-FFF2-40B4-BE49-F238E27FC236}">
                  <a16:creationId xmlns:a16="http://schemas.microsoft.com/office/drawing/2014/main" id="{DB195ACD-A1EF-FC6C-459E-FFD7133B457E}"/>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193857" y="2468880"/>
              <a:ext cx="3213553" cy="11420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336973</xdr:colOff>
      <xdr:row>5</xdr:row>
      <xdr:rowOff>94011</xdr:rowOff>
    </xdr:from>
    <xdr:to>
      <xdr:col>0</xdr:col>
      <xdr:colOff>2965239</xdr:colOff>
      <xdr:row>11</xdr:row>
      <xdr:rowOff>45962</xdr:rowOff>
    </xdr:to>
    <xdr:sp macro="" textlink="Excel_jumia_dataset!X2">
      <xdr:nvSpPr>
        <xdr:cNvPr id="28" name="Rectangle: Rounded Corners 27">
          <a:extLst>
            <a:ext uri="{FF2B5EF4-FFF2-40B4-BE49-F238E27FC236}">
              <a16:creationId xmlns:a16="http://schemas.microsoft.com/office/drawing/2014/main" id="{D5079F0A-ACA0-C5BA-3296-8CE5C3825E0F}"/>
            </a:ext>
          </a:extLst>
        </xdr:cNvPr>
        <xdr:cNvSpPr/>
      </xdr:nvSpPr>
      <xdr:spPr>
        <a:xfrm>
          <a:off x="336973" y="940678"/>
          <a:ext cx="2628266" cy="967951"/>
        </a:xfrm>
        <a:prstGeom prst="roundRect">
          <a:avLst/>
        </a:prstGeom>
        <a:solidFill>
          <a:srgbClr val="552A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i="0" u="none" strike="noStrike">
              <a:solidFill>
                <a:schemeClr val="bg1"/>
              </a:solidFill>
              <a:latin typeface="Cambria"/>
              <a:ea typeface="Cambria"/>
              <a:cs typeface="+mn-cs"/>
            </a:rPr>
            <a:t>Total Products</a:t>
          </a:r>
        </a:p>
        <a:p>
          <a:pPr marL="0" indent="0" algn="ctr"/>
          <a:fld id="{661382A6-D02A-4BFA-AD9E-332DCDA2D967}" type="TxLink">
            <a:rPr lang="en-US" sz="2000" b="1" i="0" u="none" strike="noStrike">
              <a:solidFill>
                <a:schemeClr val="bg1"/>
              </a:solidFill>
              <a:latin typeface="Cambria"/>
              <a:ea typeface="Cambria"/>
              <a:cs typeface="+mn-cs"/>
            </a:rPr>
            <a:pPr marL="0" indent="0" algn="ctr"/>
            <a:t>112</a:t>
          </a:fld>
          <a:endParaRPr lang="en-US" sz="2000" b="1" i="0" u="none" strike="noStrike">
            <a:solidFill>
              <a:schemeClr val="bg1"/>
            </a:solidFill>
            <a:latin typeface="Cambria"/>
            <a:ea typeface="Cambri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5.393457407408" missingItemsLimit="0" createdVersion="8" refreshedVersion="8" minRefreshableVersion="3" recordCount="113" xr:uid="{AB4E40C6-F969-42EA-B8F5-C12983A1A77D}">
  <cacheSource type="worksheet">
    <worksheetSource name="Table1"/>
  </cacheSource>
  <cacheFields count="9">
    <cacheField name="Product" numFmtId="0">
      <sharedItems count="110">
        <s v="120W Cordless Vacuum Cleaners Handheld Electric Vacuum Cleaner"/>
        <s v="137 Pieces Cake Decorating Tool Set Baking Supplies"/>
        <s v="Electronic Digital Display Vernier Caliper"/>
        <s v="3D Waterproof Eva Plastic Shower Curtain 1.8*2Mtrs"/>
        <s v="100 Pcs Crochet Hook Tool Set Knitting Hook Set With Box"/>
        <s v="Punch-Free Great Load Bearing Bathroom Storage Rack Wall Shelf-White"/>
        <s v="53 Pieces/Set Yarn Knitting Crochet Hooks With Bag - Pansies"/>
        <s v="Portable Mini Cordless Car Vacuum Cleaner - Blue"/>
        <s v="52 Pieces Cake Decorating Tool Set Gift Kit Baking Supplies"/>
        <s v="53Pcs/Set Yarn Knitting Crochet Hooks With Bag - Fortune Cat"/>
        <s v="Agapeon Toothbrush Holder And Toothpaste Dispenser"/>
        <s v="Vic Wireless Vacuum Cleaner Dual Use For Home And Car 120W High Power Powerful"/>
        <s v="Intelligent  Led Body Sensor Wireless Lighting Night Light Usb"/>
        <s v="220V 60W Electric Soldering Iron Kits With Tools, Tips, And Multimeter"/>
        <s v="Metal Decorative Hooks Key Hangers Entryway Wall Hooks Towel Hooks - Home"/>
        <s v="Foldable Overbed Table/Desk"/>
        <s v="5-Pcs Stainless Steel Cooking Pot Set With Steamed Slices"/>
        <s v="3Pcs Single Head Knitting Crochet Sweater Needle Set"/>
        <s v="12 Litre Black Insulated Lunch Box"/>
        <s v="40Cm Gold Diy Acrylic Wall Sticker Clock"/>
        <s v="12 Litre Insulated Lunch Box Grey"/>
        <s v="Genebre 115 In 1 Screwdriver Repairing Tool Set For Iphone Cellphone Hand Tool"/>
        <s v="Portable Wardrobe Nonwoven With 3 Hanging Rods And 6 Storage Shelves"/>
        <s v="Mythco 120Cob Solar Wall Ligt With Motion Sensor And Remote Control 3 Modes"/>
        <s v="Exfoliate And Exfoliate Face Towel - Black"/>
        <s v="Led Eye Protection  Desk Lamp , Study, Reading, Usb Fan - Double Pen Holder"/>
        <s v="Multifunction Laser Level With Adjustment Tripod"/>
        <s v="Lasa 3 Tier Bamboo Shoe Bench Storage Shelf"/>
        <s v="380Ml Usb Rechargeable Portable Small Blenders And Juicers"/>
        <s v="Electric Led Uv Mosquito Killer Lamp, Outdoor/Indoor Fly Killer Trap Light -Usb"/>
        <s v="Weighing Scale Digital Bathroom Body Fat Scale Usb-Black"/>
        <s v="7-Piece Set Of Storage Bags, Travel Storage Bags, Shoe Bags"/>
        <s v="Artificial Potted Flowers Room Decorative Flowers (2 Pieces)"/>
        <s v="Watercolour Gold Foil Textured Print Pillow Cover"/>
        <s v="Lasa Digital Thermometer And Hydrometer"/>
        <s v="Led Romantic Spaceship Starry Sky Projector,Children'S Bedroom Night Light-Blue"/>
        <s v="5 Pieces/Set Of Stainless Steel Induction Cooker Pots"/>
        <s v="Lasa Folding Table Serving Stand"/>
        <s v="13 In 1 Home Repair Tools Box Kit Set"/>
        <s v="Wrought Iron Bathroom Shelf Wall Mounted Free Punch Toilet Rack"/>
        <s v="32Pcs Portable Cordless Drill Set With Cyclic Battery Drive -26 Variable Speed"/>
        <s v="Large Lazy Inflatable Sofa Chairs Pvc Lounger Seat Bag"/>
        <s v="Portable Home Small Air Humidifier 3-Speed Fan - Green"/>
        <s v="Led Wall Digital Alarm Clock Study Home 12 / 24H Clock Calendar"/>
        <s v="Lasa Aluminum Folding Truck Hand Cart - 68Kg Max"/>
        <s v="Classic Black Cat Cotton Hemp Pillow Case For Home Car"/>
        <s v="Anti-Skid Absorbent Insulation Coaster  For Home Office"/>
        <s v="Peacock  Throw Pillow Cushion Case For Home Car"/>
        <s v="3 Seater Elastic Sofa Cover,Living Room/Home Decor Chair Cover-Grey"/>
        <s v="115  Piece Set Of Multifunctional Precision Screwdrivers"/>
        <s v="Desk Foldable Fan Adjustable Fan Strong Wind 3 Gear Usb"/>
        <s v="1/2 Seater Elastic Sofa Cover,Living Room/Home Decor Chair Cover-Grey"/>
        <s v="Wall-Mounted Sticker Punch-Free Plug Fixer"/>
        <s v="Bedroom Simple Floor Hanging Clothes Rack Single Pole Hat Rack - White"/>
        <s v="Household Pineapple Peeler Peeler"/>
        <s v="Memory Foam Neck Pillow Cover, With Pillow Core - 50*30Cm"/>
        <s v="Diy File Folder, Office Drawer File Holder, Pen Holder, Desktop Storage Rack"/>
        <s v="Konka Healty Electric Kettle, 24-Hour Heat Preservation,1.5L,800W, White"/>
        <s v="6 In 1 Bottle Can Opener Multifunctional Easy Opener"/>
        <s v="Creative Owl Shape Keychain Black"/>
        <s v="Simple Metal Dog Art Sculpture Decoration For Home Office"/>
        <s v="2Pcs Ice Silk Square Cushion Cover Pillowcases - 65X65Cm"/>
        <s v="Christmas Elk Fence Yard Lawn Decorations Cute For Holidays"/>
        <s v="Wall Clock With Hidden Safe Box"/>
        <s v="Brush &amp; Paintbrush Cleaning Tool Pink"/>
        <s v="Modern Sofa Throw Pillow Cover-45X45Cm-Blue&amp;Red"/>
        <s v="Angle Measuring Tool Full Metal Multi Angle Measuring Tool"/>
        <s v="Car Phone Charging Stand"/>
        <s v="Baby Early Education Shape And Color Cognitive Training Toys"/>
        <s v="4M Float Switch Water Level Controller -Water Tank"/>
        <s v="Cartoon Car Decoration Cute Individuality For Car Home Desk"/>
        <s v="4 Piece Coloured Stainless Steel Kitchenware Set"/>
        <s v="7Pcs Silicone Thumb Knife Finger Protector Vegetable Harvesting Knife"/>
        <s v="Portable Wine Table With Folding Round Table"/>
        <s v="Christmas Fence Garden Decorations Outdoor For Holiday Home"/>
        <s v="Sewing Machine Needle Threader Stitch Insertion Tool Automatic Quick Sewing"/>
        <s v="6 Layers Steel Pipe Assembling Dustproof Storage Shoe Cabinet"/>
        <s v="2Pcs/Lot Solar Led Outdoor Intelligent Light Controlled Wall Lamp"/>
        <s v="Black Simple Water Cup Wine Coaster Anti Slip Absorbent"/>
        <s v="Multifunctional Storage Rack Multi-Layer Bookshelf"/>
        <s v="3Pcs Rotary Scraper Thermomix For Kitchen"/>
        <s v="Multifunctional Hanging Storage Box Storage Bag (4 Layers)"/>
        <s v="4Pcs Bathroom/Kitchen Towel Rack,Roll Paper Holder,Towel Bars,Hook"/>
        <s v="8In1 Screwdriver With Led Light"/>
        <s v="Balloon Insert, Birthday Party Balloon Set, Pu Leather"/>
        <s v="9Pcs Gas Mask, For Painting, Dust, Formaldehyde Grinding, Polishing"/>
        <s v="Cute Christmas Fence Garden Decorations For Holiday Home"/>
        <s v="Lasa Stainless Steel Double Wall Mount Soap Dispenser - 500Ml"/>
        <s v="2Pcs Solar Street Light Flood Light Outdoor"/>
        <s v="5M Waterproof Spherical Led String Lights Outdoor Ball Chain Lights Party Lighting Decoration Adjustable"/>
        <s v="Cartoon Embroidered Mini Towel Bear Cotton Wash Cloth Hand 4Pcs"/>
        <s v="Led Solar Street Light-Fake Camera"/>
        <s v="60W Hot Melt Glue Sprayer - Efficient And Stable Glue Dispensing"/>
        <s v="12V 19500Rpm Handheld Electric Angle Grinder Tool - Uk - Yellow/Black"/>
        <s v="1Pc Refrigerator Food Seal Pocket Fridge Bags"/>
        <s v="Pilates Cloth Bag Waterproof Durable High Capacity Purple"/>
        <s v="Office Chair Lumbar Back Support Spine Posture Correction Pillow Car Cushion"/>
        <s v="Wall-Mounted Toothbrush Toothpaste Holder With Multiple Slots"/>
        <s v="Outdoor Portable Water Bottle With Medicine Box - 600Ml - Black"/>
        <s v="Wall Mount Automatic Toothpaste Dispenser Toothbrush Holder Toothpaste Squeezer"/>
        <s v="Metal Wall Clock Silver Dial Crystal Jewelry Round Home Decoration Wall Clock"/>
        <s v="Cushion Silicone Butt Cushion Summer Ice Cushion Honeycomb Gel Cushion"/>
        <s v="Multi-Purpose Rice Drainage Basket And Fruit And Vegetable Drainage Sieve"/>
        <s v="Shower Nozzle Cleaning Unclogging Needle Mini Crevice Small Hole Cleaning Brush"/>
        <s v="Pen Grips For Kids Pen Grip Posture Correction Tool For Kids"/>
        <s v="Shower Cap Wide Elastic Band Cover Reusable Bashroom Cap"/>
        <s v="Portable Soap Dispenser Kitchen Detergent Press Box Kitchen Tools"/>
        <s v="2 Pairs Cowhide Split Leather Work Gloves.32Â„‰ Or Above Welding Gloves"/>
        <s v="Thickening Multipurpose Non Stick Easy To Clean Heat Resistant Spoon Pad"/>
        <s v="24 Grid Wall-Mounted Sundries Organiser Fabric Closet Bag Storage Rack"/>
      </sharedItems>
    </cacheField>
    <cacheField name="Current price" numFmtId="0">
      <sharedItems containsSemiMixedTypes="0" containsString="0" containsNumber="1" containsInteger="1" minValue="38" maxValue="3750"/>
    </cacheField>
    <cacheField name="Old price" numFmtId="0">
      <sharedItems containsSemiMixedTypes="0" containsString="0" containsNumber="1" containsInteger="1" minValue="80" maxValue="6143"/>
    </cacheField>
    <cacheField name="Absolute discount" numFmtId="0">
      <sharedItems containsSemiMixedTypes="0" containsString="0" containsNumber="1" containsInteger="1" minValue="24" maxValue="2585"/>
    </cacheField>
    <cacheField name="Discount" numFmtId="9">
      <sharedItems containsSemiMixedTypes="0" containsString="0" containsNumber="1" minValue="0.01" maxValue="0.64"/>
    </cacheField>
    <cacheField name="Review" numFmtId="1">
      <sharedItems containsString="0" containsBlank="1" containsNumber="1" containsInteger="1" minValue="1" maxValue="69"/>
    </cacheField>
    <cacheField name="Ratings" numFmtId="0">
      <sharedItems containsString="0" containsBlank="1" containsNumber="1" minValue="2" maxValue="5"/>
    </cacheField>
    <cacheField name="Ratings_performance" numFmtId="0">
      <sharedItems count="4">
        <s v="Poor"/>
        <s v="Excellent"/>
        <s v="Average"/>
        <s v="No Rating"/>
      </sharedItems>
    </cacheField>
    <cacheField name="Discount Category" numFmtId="0">
      <sharedItems count="3">
        <s v="High Discount"/>
        <s v="Medium Discount"/>
        <s v="Low Discount"/>
      </sharedItems>
    </cacheField>
  </cacheFields>
  <extLst>
    <ext xmlns:x14="http://schemas.microsoft.com/office/spreadsheetml/2009/9/main" uri="{725AE2AE-9491-48be-B2B4-4EB974FC3084}">
      <x14:pivotCacheDefinition pivotCacheId="16339603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x v="0"/>
    <n v="445"/>
    <n v="873"/>
    <n v="428"/>
    <n v="0.49"/>
    <n v="69"/>
    <n v="2.8"/>
    <x v="0"/>
    <x v="0"/>
  </r>
  <r>
    <x v="1"/>
    <n v="2319"/>
    <n v="3032"/>
    <n v="713"/>
    <n v="0.24"/>
    <n v="55"/>
    <n v="4.5999999999999996"/>
    <x v="1"/>
    <x v="1"/>
  </r>
  <r>
    <x v="2"/>
    <n v="420"/>
    <n v="647"/>
    <n v="227"/>
    <n v="0.35"/>
    <n v="49"/>
    <n v="4.5999999999999996"/>
    <x v="1"/>
    <x v="1"/>
  </r>
  <r>
    <x v="3"/>
    <n v="998"/>
    <n v="1966"/>
    <n v="968"/>
    <n v="0.49"/>
    <n v="44"/>
    <n v="4.5999999999999996"/>
    <x v="1"/>
    <x v="0"/>
  </r>
  <r>
    <x v="4"/>
    <n v="990"/>
    <n v="1500"/>
    <n v="510"/>
    <n v="0.34"/>
    <n v="39"/>
    <n v="4.7"/>
    <x v="1"/>
    <x v="1"/>
  </r>
  <r>
    <x v="5"/>
    <n v="389"/>
    <n v="656"/>
    <n v="267"/>
    <n v="0.41"/>
    <n v="36"/>
    <n v="4.3"/>
    <x v="2"/>
    <x v="0"/>
  </r>
  <r>
    <x v="6"/>
    <n v="1980"/>
    <n v="2699"/>
    <n v="719"/>
    <n v="0.27"/>
    <n v="32"/>
    <n v="4.5"/>
    <x v="1"/>
    <x v="1"/>
  </r>
  <r>
    <x v="7"/>
    <n v="2199"/>
    <n v="2923"/>
    <n v="724"/>
    <n v="0.25"/>
    <n v="24"/>
    <n v="4.5999999999999996"/>
    <x v="1"/>
    <x v="1"/>
  </r>
  <r>
    <x v="8"/>
    <n v="1758"/>
    <n v="2499"/>
    <n v="741"/>
    <n v="0.3"/>
    <n v="20"/>
    <n v="4.0999999999999996"/>
    <x v="2"/>
    <x v="1"/>
  </r>
  <r>
    <x v="9"/>
    <n v="1940"/>
    <n v="2650"/>
    <n v="710"/>
    <n v="0.27"/>
    <n v="20"/>
    <n v="4.7"/>
    <x v="1"/>
    <x v="1"/>
  </r>
  <r>
    <x v="10"/>
    <n v="382"/>
    <n v="700"/>
    <n v="318"/>
    <n v="0.45"/>
    <n v="17"/>
    <n v="2.6"/>
    <x v="0"/>
    <x v="0"/>
  </r>
  <r>
    <x v="11"/>
    <n v="1220"/>
    <n v="1555"/>
    <n v="335"/>
    <n v="0.22"/>
    <n v="16"/>
    <n v="2.9"/>
    <x v="0"/>
    <x v="1"/>
  </r>
  <r>
    <x v="12"/>
    <n v="325"/>
    <n v="680"/>
    <n v="355"/>
    <n v="0.52"/>
    <n v="15"/>
    <n v="2.7"/>
    <x v="0"/>
    <x v="0"/>
  </r>
  <r>
    <x v="13"/>
    <n v="2999"/>
    <n v="3290"/>
    <n v="291"/>
    <n v="0.09"/>
    <n v="15"/>
    <n v="4"/>
    <x v="2"/>
    <x v="2"/>
  </r>
  <r>
    <x v="14"/>
    <n v="527"/>
    <n v="999"/>
    <n v="472"/>
    <n v="0.47"/>
    <n v="14"/>
    <n v="4.0999999999999996"/>
    <x v="2"/>
    <x v="0"/>
  </r>
  <r>
    <x v="15"/>
    <n v="1650"/>
    <n v="2150"/>
    <n v="500"/>
    <n v="0.23"/>
    <n v="14"/>
    <n v="4.4000000000000004"/>
    <x v="2"/>
    <x v="1"/>
  </r>
  <r>
    <x v="16"/>
    <n v="2115"/>
    <n v="4700"/>
    <n v="2585"/>
    <n v="0.55000000000000004"/>
    <n v="13"/>
    <n v="2.1"/>
    <x v="0"/>
    <x v="0"/>
  </r>
  <r>
    <x v="17"/>
    <n v="38"/>
    <n v="80"/>
    <n v="42"/>
    <n v="0.53"/>
    <n v="13"/>
    <n v="3.3"/>
    <x v="2"/>
    <x v="0"/>
  </r>
  <r>
    <x v="18"/>
    <n v="1350"/>
    <n v="1990"/>
    <n v="640"/>
    <n v="0.32"/>
    <n v="13"/>
    <n v="3.8"/>
    <x v="2"/>
    <x v="1"/>
  </r>
  <r>
    <x v="19"/>
    <n v="552"/>
    <n v="1035"/>
    <n v="483"/>
    <n v="0.47"/>
    <n v="12"/>
    <n v="4.8"/>
    <x v="1"/>
    <x v="0"/>
  </r>
  <r>
    <x v="20"/>
    <n v="980"/>
    <n v="1490"/>
    <n v="510"/>
    <n v="0.34"/>
    <n v="12"/>
    <n v="4.7"/>
    <x v="1"/>
    <x v="1"/>
  </r>
  <r>
    <x v="21"/>
    <n v="799"/>
    <n v="999"/>
    <n v="200"/>
    <n v="0.2"/>
    <n v="12"/>
    <n v="4.0999999999999996"/>
    <x v="2"/>
    <x v="1"/>
  </r>
  <r>
    <x v="22"/>
    <n v="2880"/>
    <n v="3520"/>
    <n v="640"/>
    <n v="0.18"/>
    <n v="12"/>
    <n v="3.8"/>
    <x v="2"/>
    <x v="2"/>
  </r>
  <r>
    <x v="23"/>
    <n v="458"/>
    <n v="986"/>
    <n v="528"/>
    <n v="0.54"/>
    <n v="10"/>
    <n v="3"/>
    <x v="2"/>
    <x v="0"/>
  </r>
  <r>
    <x v="24"/>
    <n v="185"/>
    <n v="382"/>
    <n v="197"/>
    <n v="0.52"/>
    <n v="9"/>
    <n v="4.3"/>
    <x v="2"/>
    <x v="0"/>
  </r>
  <r>
    <x v="25"/>
    <n v="1820"/>
    <n v="3490"/>
    <n v="1670"/>
    <n v="0.48"/>
    <n v="9"/>
    <n v="4.3"/>
    <x v="2"/>
    <x v="0"/>
  </r>
  <r>
    <x v="26"/>
    <n v="1680"/>
    <n v="2499"/>
    <n v="819"/>
    <n v="0.33"/>
    <n v="9"/>
    <n v="4.2"/>
    <x v="2"/>
    <x v="1"/>
  </r>
  <r>
    <x v="27"/>
    <n v="2048"/>
    <n v="4500"/>
    <n v="2452"/>
    <n v="0.54"/>
    <n v="7"/>
    <n v="4.3"/>
    <x v="2"/>
    <x v="0"/>
  </r>
  <r>
    <x v="28"/>
    <n v="1000"/>
    <n v="2000"/>
    <n v="1000"/>
    <n v="0.5"/>
    <n v="7"/>
    <n v="2.2999999999999998"/>
    <x v="0"/>
    <x v="0"/>
  </r>
  <r>
    <x v="29"/>
    <n v="1570"/>
    <n v="2988"/>
    <n v="1418"/>
    <n v="0.47"/>
    <n v="7"/>
    <n v="2.1"/>
    <x v="0"/>
    <x v="0"/>
  </r>
  <r>
    <x v="30"/>
    <n v="1580"/>
    <n v="2499"/>
    <n v="919"/>
    <n v="0.37"/>
    <n v="7"/>
    <n v="4.7"/>
    <x v="1"/>
    <x v="1"/>
  </r>
  <r>
    <x v="31"/>
    <n v="968"/>
    <n v="1814"/>
    <n v="846"/>
    <n v="0.47"/>
    <n v="6"/>
    <n v="2.2000000000000002"/>
    <x v="0"/>
    <x v="0"/>
  </r>
  <r>
    <x v="32"/>
    <n v="990"/>
    <n v="1814"/>
    <n v="824"/>
    <n v="0.45"/>
    <n v="6"/>
    <n v="2.2000000000000002"/>
    <x v="0"/>
    <x v="0"/>
  </r>
  <r>
    <x v="33"/>
    <n v="345"/>
    <n v="602"/>
    <n v="257"/>
    <n v="0.43"/>
    <n v="6"/>
    <n v="2.2999999999999998"/>
    <x v="0"/>
    <x v="0"/>
  </r>
  <r>
    <x v="34"/>
    <n v="501"/>
    <n v="860"/>
    <n v="359"/>
    <n v="0.42"/>
    <n v="6"/>
    <n v="4.5"/>
    <x v="1"/>
    <x v="0"/>
  </r>
  <r>
    <x v="35"/>
    <n v="880"/>
    <n v="1350"/>
    <n v="470"/>
    <n v="0.35"/>
    <n v="6"/>
    <n v="4"/>
    <x v="2"/>
    <x v="1"/>
  </r>
  <r>
    <x v="36"/>
    <n v="2170"/>
    <n v="2500"/>
    <n v="330"/>
    <n v="0.13"/>
    <n v="6"/>
    <n v="2.5"/>
    <x v="0"/>
    <x v="2"/>
  </r>
  <r>
    <x v="37"/>
    <n v="1274"/>
    <n v="2800"/>
    <n v="1526"/>
    <n v="0.55000000000000004"/>
    <n v="5"/>
    <n v="4.8"/>
    <x v="1"/>
    <x v="0"/>
  </r>
  <r>
    <x v="38"/>
    <n v="1600"/>
    <n v="2929"/>
    <n v="1329"/>
    <n v="0.45"/>
    <n v="5"/>
    <n v="3.8"/>
    <x v="2"/>
    <x v="0"/>
  </r>
  <r>
    <x v="39"/>
    <n v="509"/>
    <n v="899"/>
    <n v="390"/>
    <n v="0.43"/>
    <n v="5"/>
    <n v="3"/>
    <x v="2"/>
    <x v="0"/>
  </r>
  <r>
    <x v="40"/>
    <n v="3750"/>
    <n v="6143"/>
    <n v="2393"/>
    <n v="0.39"/>
    <n v="5"/>
    <n v="3"/>
    <x v="2"/>
    <x v="1"/>
  </r>
  <r>
    <x v="41"/>
    <n v="2300"/>
    <n v="3240"/>
    <n v="940"/>
    <n v="0.28999999999999998"/>
    <n v="5"/>
    <n v="3"/>
    <x v="2"/>
    <x v="1"/>
  </r>
  <r>
    <x v="42"/>
    <n v="1740"/>
    <n v="2356"/>
    <n v="616"/>
    <n v="0.26"/>
    <n v="5"/>
    <n v="4.8"/>
    <x v="1"/>
    <x v="1"/>
  </r>
  <r>
    <x v="43"/>
    <n v="2999"/>
    <n v="3699"/>
    <n v="700"/>
    <n v="0.19"/>
    <n v="5"/>
    <n v="4.5999999999999996"/>
    <x v="1"/>
    <x v="2"/>
  </r>
  <r>
    <x v="44"/>
    <n v="2025"/>
    <n v="3971"/>
    <n v="1946"/>
    <n v="0.49"/>
    <n v="3"/>
    <n v="5"/>
    <x v="1"/>
    <x v="0"/>
  </r>
  <r>
    <x v="45"/>
    <n v="171"/>
    <n v="360"/>
    <n v="189"/>
    <n v="0.53"/>
    <n v="2"/>
    <n v="5"/>
    <x v="1"/>
    <x v="0"/>
  </r>
  <r>
    <x v="46"/>
    <n v="332"/>
    <n v="684"/>
    <n v="352"/>
    <n v="0.51"/>
    <n v="2"/>
    <n v="5"/>
    <x v="1"/>
    <x v="0"/>
  </r>
  <r>
    <x v="47"/>
    <n v="195"/>
    <n v="360"/>
    <n v="165"/>
    <n v="0.46"/>
    <n v="2"/>
    <n v="5"/>
    <x v="1"/>
    <x v="0"/>
  </r>
  <r>
    <x v="48"/>
    <n v="1980"/>
    <n v="3200"/>
    <n v="1220"/>
    <n v="0.38"/>
    <n v="2"/>
    <n v="4.5"/>
    <x v="1"/>
    <x v="1"/>
  </r>
  <r>
    <x v="49"/>
    <n v="950"/>
    <n v="1525"/>
    <n v="575"/>
    <n v="0.38"/>
    <n v="2"/>
    <n v="4.5"/>
    <x v="1"/>
    <x v="1"/>
  </r>
  <r>
    <x v="50"/>
    <n v="988"/>
    <n v="1580"/>
    <n v="592"/>
    <n v="0.37"/>
    <n v="2"/>
    <n v="4"/>
    <x v="2"/>
    <x v="1"/>
  </r>
  <r>
    <x v="51"/>
    <n v="1620"/>
    <n v="2200"/>
    <n v="580"/>
    <n v="0.26"/>
    <n v="2"/>
    <n v="4.5"/>
    <x v="1"/>
    <x v="1"/>
  </r>
  <r>
    <x v="52"/>
    <n v="450"/>
    <n v="900"/>
    <n v="450"/>
    <n v="0.5"/>
    <n v="1"/>
    <n v="2"/>
    <x v="0"/>
    <x v="0"/>
  </r>
  <r>
    <x v="53"/>
    <n v="979"/>
    <n v="1920"/>
    <n v="941"/>
    <n v="0.49"/>
    <n v="1"/>
    <n v="5"/>
    <x v="1"/>
    <x v="0"/>
  </r>
  <r>
    <x v="54"/>
    <n v="330"/>
    <n v="647"/>
    <n v="317"/>
    <n v="0.49"/>
    <n v="1"/>
    <n v="4"/>
    <x v="2"/>
    <x v="0"/>
  </r>
  <r>
    <x v="55"/>
    <n v="1189"/>
    <n v="2199"/>
    <n v="1010"/>
    <n v="0.46"/>
    <n v="1"/>
    <n v="3"/>
    <x v="2"/>
    <x v="0"/>
  </r>
  <r>
    <x v="56"/>
    <n v="1620"/>
    <n v="2690"/>
    <n v="1070"/>
    <n v="0.4"/>
    <n v="1"/>
    <n v="5"/>
    <x v="1"/>
    <x v="1"/>
  </r>
  <r>
    <x v="57"/>
    <n v="3640"/>
    <n v="4588"/>
    <n v="948"/>
    <n v="0.21"/>
    <n v="1"/>
    <n v="5"/>
    <x v="1"/>
    <x v="1"/>
  </r>
  <r>
    <x v="58"/>
    <n v="199"/>
    <n v="553"/>
    <n v="354"/>
    <n v="0.64"/>
    <m/>
    <m/>
    <x v="3"/>
    <x v="0"/>
  </r>
  <r>
    <x v="59"/>
    <n v="199"/>
    <n v="504"/>
    <n v="305"/>
    <n v="0.61"/>
    <m/>
    <m/>
    <x v="3"/>
    <x v="0"/>
  </r>
  <r>
    <x v="60"/>
    <n v="399"/>
    <n v="896"/>
    <n v="497"/>
    <n v="0.55000000000000004"/>
    <m/>
    <m/>
    <x v="3"/>
    <x v="0"/>
  </r>
  <r>
    <x v="61"/>
    <n v="1200"/>
    <n v="2400"/>
    <n v="1200"/>
    <n v="0.5"/>
    <m/>
    <m/>
    <x v="3"/>
    <x v="0"/>
  </r>
  <r>
    <x v="62"/>
    <n v="999"/>
    <n v="2000"/>
    <n v="1001"/>
    <n v="0.5"/>
    <m/>
    <m/>
    <x v="3"/>
    <x v="0"/>
  </r>
  <r>
    <x v="63"/>
    <n v="850"/>
    <n v="1700"/>
    <n v="850"/>
    <n v="0.5"/>
    <m/>
    <m/>
    <x v="3"/>
    <x v="0"/>
  </r>
  <r>
    <x v="64"/>
    <n v="299"/>
    <n v="600"/>
    <n v="301"/>
    <n v="0.5"/>
    <m/>
    <m/>
    <x v="3"/>
    <x v="0"/>
  </r>
  <r>
    <x v="65"/>
    <n v="238"/>
    <n v="476"/>
    <n v="238"/>
    <n v="0.5"/>
    <m/>
    <m/>
    <x v="3"/>
    <x v="0"/>
  </r>
  <r>
    <x v="66"/>
    <n v="799"/>
    <n v="1567"/>
    <n v="768"/>
    <n v="0.49"/>
    <m/>
    <m/>
    <x v="3"/>
    <x v="0"/>
  </r>
  <r>
    <x v="67"/>
    <n v="671"/>
    <n v="1316"/>
    <n v="645"/>
    <n v="0.49"/>
    <m/>
    <m/>
    <x v="3"/>
    <x v="0"/>
  </r>
  <r>
    <x v="66"/>
    <n v="657"/>
    <n v="1288"/>
    <n v="631"/>
    <n v="0.49"/>
    <m/>
    <m/>
    <x v="3"/>
    <x v="0"/>
  </r>
  <r>
    <x v="68"/>
    <n v="525"/>
    <n v="1029"/>
    <n v="504"/>
    <n v="0.49"/>
    <m/>
    <m/>
    <x v="3"/>
    <x v="0"/>
  </r>
  <r>
    <x v="69"/>
    <n v="475"/>
    <n v="931"/>
    <n v="456"/>
    <n v="0.49"/>
    <m/>
    <m/>
    <x v="3"/>
    <x v="0"/>
  </r>
  <r>
    <x v="70"/>
    <n v="274"/>
    <n v="537"/>
    <n v="263"/>
    <n v="0.49"/>
    <m/>
    <m/>
    <x v="3"/>
    <x v="0"/>
  </r>
  <r>
    <x v="71"/>
    <n v="248"/>
    <n v="486"/>
    <n v="238"/>
    <n v="0.49"/>
    <m/>
    <m/>
    <x v="3"/>
    <x v="0"/>
  </r>
  <r>
    <x v="72"/>
    <n v="230"/>
    <n v="450"/>
    <n v="220"/>
    <n v="0.49"/>
    <m/>
    <m/>
    <x v="3"/>
    <x v="0"/>
  </r>
  <r>
    <x v="59"/>
    <n v="176"/>
    <n v="345"/>
    <n v="169"/>
    <n v="0.49"/>
    <m/>
    <m/>
    <x v="3"/>
    <x v="0"/>
  </r>
  <r>
    <x v="73"/>
    <n v="1300"/>
    <n v="2500"/>
    <n v="1200"/>
    <n v="0.48"/>
    <m/>
    <m/>
    <x v="3"/>
    <x v="0"/>
  </r>
  <r>
    <x v="74"/>
    <n v="699"/>
    <n v="1343"/>
    <n v="644"/>
    <n v="0.48"/>
    <m/>
    <m/>
    <x v="3"/>
    <x v="0"/>
  </r>
  <r>
    <x v="75"/>
    <n v="105"/>
    <n v="200"/>
    <n v="95"/>
    <n v="0.48"/>
    <m/>
    <m/>
    <x v="3"/>
    <x v="0"/>
  </r>
  <r>
    <x v="76"/>
    <n v="899"/>
    <n v="1699"/>
    <n v="800"/>
    <n v="0.47"/>
    <m/>
    <m/>
    <x v="3"/>
    <x v="0"/>
  </r>
  <r>
    <x v="77"/>
    <n v="790"/>
    <n v="1485"/>
    <n v="695"/>
    <n v="0.47"/>
    <m/>
    <m/>
    <x v="3"/>
    <x v="0"/>
  </r>
  <r>
    <x v="78"/>
    <n v="169"/>
    <n v="320"/>
    <n v="151"/>
    <n v="0.47"/>
    <m/>
    <m/>
    <x v="3"/>
    <x v="0"/>
  </r>
  <r>
    <x v="79"/>
    <n v="2200"/>
    <n v="4080"/>
    <n v="1880"/>
    <n v="0.46"/>
    <m/>
    <m/>
    <x v="3"/>
    <x v="0"/>
  </r>
  <r>
    <x v="60"/>
    <n v="499"/>
    <n v="900"/>
    <n v="401"/>
    <n v="0.45"/>
    <m/>
    <m/>
    <x v="3"/>
    <x v="0"/>
  </r>
  <r>
    <x v="80"/>
    <n v="690"/>
    <n v="1200"/>
    <n v="510"/>
    <n v="0.43"/>
    <m/>
    <m/>
    <x v="3"/>
    <x v="0"/>
  </r>
  <r>
    <x v="81"/>
    <n v="630"/>
    <n v="1100"/>
    <n v="470"/>
    <n v="0.43"/>
    <m/>
    <m/>
    <x v="3"/>
    <x v="0"/>
  </r>
  <r>
    <x v="82"/>
    <n v="1860"/>
    <n v="3220"/>
    <n v="1360"/>
    <n v="0.42"/>
    <m/>
    <m/>
    <x v="3"/>
    <x v="0"/>
  </r>
  <r>
    <x v="83"/>
    <n v="1080"/>
    <n v="1874"/>
    <n v="794"/>
    <n v="0.42"/>
    <m/>
    <m/>
    <x v="3"/>
    <x v="0"/>
  </r>
  <r>
    <x v="84"/>
    <n v="610"/>
    <n v="1060"/>
    <n v="450"/>
    <n v="0.42"/>
    <m/>
    <m/>
    <x v="3"/>
    <x v="0"/>
  </r>
  <r>
    <x v="85"/>
    <n v="1420"/>
    <n v="2420"/>
    <n v="1000"/>
    <n v="0.41"/>
    <m/>
    <m/>
    <x v="3"/>
    <x v="0"/>
  </r>
  <r>
    <x v="86"/>
    <n v="799"/>
    <n v="1343"/>
    <n v="544"/>
    <n v="0.41"/>
    <m/>
    <m/>
    <x v="3"/>
    <x v="0"/>
  </r>
  <r>
    <x v="87"/>
    <n v="2750"/>
    <n v="4471"/>
    <n v="1721"/>
    <n v="0.38"/>
    <m/>
    <m/>
    <x v="3"/>
    <x v="1"/>
  </r>
  <r>
    <x v="88"/>
    <n v="1200"/>
    <n v="1950"/>
    <n v="750"/>
    <n v="0.38"/>
    <m/>
    <m/>
    <x v="3"/>
    <x v="1"/>
  </r>
  <r>
    <x v="89"/>
    <n v="1460"/>
    <n v="2290"/>
    <n v="830"/>
    <n v="0.36"/>
    <m/>
    <m/>
    <x v="3"/>
    <x v="1"/>
  </r>
  <r>
    <x v="90"/>
    <n v="1190"/>
    <n v="1810"/>
    <n v="620"/>
    <n v="0.34"/>
    <m/>
    <m/>
    <x v="3"/>
    <x v="1"/>
  </r>
  <r>
    <x v="91"/>
    <n v="1150"/>
    <n v="1737"/>
    <n v="587"/>
    <n v="0.34"/>
    <m/>
    <m/>
    <x v="3"/>
    <x v="1"/>
  </r>
  <r>
    <x v="92"/>
    <n v="1190"/>
    <n v="1785"/>
    <n v="595"/>
    <n v="0.33"/>
    <m/>
    <m/>
    <x v="3"/>
    <x v="1"/>
  </r>
  <r>
    <x v="93"/>
    <n v="2799"/>
    <n v="3810"/>
    <n v="1011"/>
    <n v="0.27"/>
    <m/>
    <m/>
    <x v="3"/>
    <x v="1"/>
  </r>
  <r>
    <x v="94"/>
    <n v="198"/>
    <n v="260"/>
    <n v="62"/>
    <n v="0.24"/>
    <m/>
    <m/>
    <x v="3"/>
    <x v="1"/>
  </r>
  <r>
    <x v="95"/>
    <n v="299"/>
    <n v="384"/>
    <n v="85"/>
    <n v="0.22"/>
    <m/>
    <m/>
    <x v="3"/>
    <x v="1"/>
  </r>
  <r>
    <x v="96"/>
    <n v="1466"/>
    <n v="1699"/>
    <n v="233"/>
    <n v="0.14000000000000001"/>
    <m/>
    <m/>
    <x v="3"/>
    <x v="2"/>
  </r>
  <r>
    <x v="97"/>
    <n v="1468"/>
    <n v="1699"/>
    <n v="231"/>
    <n v="0.14000000000000001"/>
    <m/>
    <m/>
    <x v="3"/>
    <x v="2"/>
  </r>
  <r>
    <x v="98"/>
    <n v="799"/>
    <n v="900"/>
    <n v="101"/>
    <n v="0.11"/>
    <m/>
    <m/>
    <x v="3"/>
    <x v="2"/>
  </r>
  <r>
    <x v="99"/>
    <n v="1526"/>
    <n v="1660"/>
    <n v="134"/>
    <n v="0.08"/>
    <m/>
    <m/>
    <x v="3"/>
    <x v="2"/>
  </r>
  <r>
    <x v="100"/>
    <n v="3546"/>
    <n v="3699"/>
    <n v="153"/>
    <n v="0.04"/>
    <m/>
    <m/>
    <x v="3"/>
    <x v="2"/>
  </r>
  <r>
    <x v="101"/>
    <n v="1732"/>
    <n v="1799"/>
    <n v="67"/>
    <n v="0.04"/>
    <m/>
    <m/>
    <x v="3"/>
    <x v="2"/>
  </r>
  <r>
    <x v="102"/>
    <n v="1459"/>
    <n v="1499"/>
    <n v="40"/>
    <n v="0.03"/>
    <m/>
    <m/>
    <x v="3"/>
    <x v="2"/>
  </r>
  <r>
    <x v="103"/>
    <n v="1658"/>
    <n v="1699"/>
    <n v="41"/>
    <n v="0.02"/>
    <m/>
    <m/>
    <x v="3"/>
    <x v="2"/>
  </r>
  <r>
    <x v="104"/>
    <n v="1660"/>
    <n v="1699"/>
    <n v="39"/>
    <n v="0.02"/>
    <m/>
    <m/>
    <x v="3"/>
    <x v="2"/>
  </r>
  <r>
    <x v="105"/>
    <n v="2132"/>
    <n v="2169"/>
    <n v="37"/>
    <n v="0.02"/>
    <m/>
    <m/>
    <x v="3"/>
    <x v="2"/>
  </r>
  <r>
    <x v="106"/>
    <n v="1462"/>
    <n v="1499"/>
    <n v="37"/>
    <n v="0.02"/>
    <m/>
    <m/>
    <x v="3"/>
    <x v="2"/>
  </r>
  <r>
    <x v="107"/>
    <n v="1666"/>
    <n v="1699"/>
    <n v="33"/>
    <n v="0.02"/>
    <m/>
    <m/>
    <x v="3"/>
    <x v="2"/>
  </r>
  <r>
    <x v="108"/>
    <n v="1768"/>
    <n v="1799"/>
    <n v="31"/>
    <n v="0.02"/>
    <m/>
    <m/>
    <x v="3"/>
    <x v="2"/>
  </r>
  <r>
    <x v="109"/>
    <n v="1875"/>
    <n v="1899"/>
    <n v="24"/>
    <n v="0.01"/>
    <m/>
    <m/>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809F3D-B7AD-442F-9301-C0DA48CCF5BB}" name="PivotTable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atings_">
  <location ref="T55:U60" firstHeaderRow="1" firstDataRow="1" firstDataCol="1"/>
  <pivotFields count="9">
    <pivotField dataField="1" showAll="0"/>
    <pivotField showAll="0"/>
    <pivotField showAll="0"/>
    <pivotField showAll="0"/>
    <pivotField numFmtId="9" showAll="0"/>
    <pivotField showAll="0"/>
    <pivotField showAll="0"/>
    <pivotField axis="axisRow" showAll="0">
      <items count="5">
        <item x="2"/>
        <item x="1"/>
        <item x="3"/>
        <item x="0"/>
        <item t="default"/>
      </items>
    </pivotField>
    <pivotField showAll="0">
      <items count="4">
        <item x="0"/>
        <item x="2"/>
        <item x="1"/>
        <item t="default"/>
      </items>
    </pivotField>
  </pivotFields>
  <rowFields count="1">
    <field x="7"/>
  </rowFields>
  <rowItems count="5">
    <i>
      <x/>
    </i>
    <i>
      <x v="1"/>
    </i>
    <i>
      <x v="2"/>
    </i>
    <i>
      <x v="3"/>
    </i>
    <i t="grand">
      <x/>
    </i>
  </rowItems>
  <colItems count="1">
    <i/>
  </colItems>
  <dataFields count="1">
    <dataField name="Count of Product" fld="0" subtotal="count" baseField="7" baseItem="0"/>
  </dataFields>
  <chartFormats count="5">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7" count="1" selected="0">
            <x v="0"/>
          </reference>
        </references>
      </pivotArea>
    </chartFormat>
    <chartFormat chart="13" format="8">
      <pivotArea type="data" outline="0" fieldPosition="0">
        <references count="2">
          <reference field="4294967294" count="1" selected="0">
            <x v="0"/>
          </reference>
          <reference field="7" count="1" selected="0">
            <x v="1"/>
          </reference>
        </references>
      </pivotArea>
    </chartFormat>
    <chartFormat chart="13" format="9">
      <pivotArea type="data" outline="0" fieldPosition="0">
        <references count="2">
          <reference field="4294967294" count="1" selected="0">
            <x v="0"/>
          </reference>
          <reference field="7" count="1" selected="0">
            <x v="2"/>
          </reference>
        </references>
      </pivotArea>
    </chartFormat>
    <chartFormat chart="13"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18D4D0-9E27-43D3-8CB7-32E10646D0A8}"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Category">
  <location ref="N55:P59" firstHeaderRow="0" firstDataRow="1" firstDataCol="1"/>
  <pivotFields count="9">
    <pivotField showAll="0"/>
    <pivotField showAll="0"/>
    <pivotField showAll="0"/>
    <pivotField showAll="0"/>
    <pivotField numFmtId="9" showAll="0"/>
    <pivotField dataField="1" showAll="0"/>
    <pivotField dataField="1" showAll="0"/>
    <pivotField showAll="0">
      <items count="5">
        <item x="2"/>
        <item x="1"/>
        <item x="3"/>
        <item x="0"/>
        <item t="default"/>
      </items>
    </pivotField>
    <pivotField axis="axisRow" showAll="0">
      <items count="4">
        <item x="0"/>
        <item x="1"/>
        <item x="2"/>
        <item t="default"/>
      </items>
    </pivotField>
  </pivotFields>
  <rowFields count="1">
    <field x="8"/>
  </rowFields>
  <rowItems count="4">
    <i>
      <x/>
    </i>
    <i>
      <x v="1"/>
    </i>
    <i>
      <x v="2"/>
    </i>
    <i t="grand">
      <x/>
    </i>
  </rowItems>
  <colFields count="1">
    <field x="-2"/>
  </colFields>
  <colItems count="2">
    <i>
      <x/>
    </i>
    <i i="1">
      <x v="1"/>
    </i>
  </colItems>
  <dataFields count="2">
    <dataField name="Rating " fld="6" subtotal="average" baseField="8" baseItem="0"/>
    <dataField name="Review  " fld="5" subtotal="average" baseField="8" baseItem="0"/>
  </dataFields>
  <formats count="2">
    <format dxfId="245">
      <pivotArea collapsedLevelsAreSubtotals="1" fieldPosition="0">
        <references count="2">
          <reference field="4294967294" count="1" selected="0">
            <x v="0"/>
          </reference>
          <reference field="8" count="0"/>
        </references>
      </pivotArea>
    </format>
    <format dxfId="244">
      <pivotArea collapsedLevelsAreSubtotals="1" fieldPosition="0">
        <references count="2">
          <reference field="4294967294" count="1" selected="0">
            <x v="1"/>
          </reference>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6B38EC-E6BE-45B0-BB6B-C14B6115BE84}" name="PivotTable1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Category">
  <location ref="G41:I45" firstHeaderRow="0" firstDataRow="1" firstDataCol="1"/>
  <pivotFields count="9">
    <pivotField showAll="0"/>
    <pivotField showAll="0"/>
    <pivotField showAll="0"/>
    <pivotField showAll="0"/>
    <pivotField numFmtId="9" showAll="0"/>
    <pivotField dataField="1" showAll="0"/>
    <pivotField dataField="1" showAll="0"/>
    <pivotField showAll="0">
      <items count="5">
        <item x="2"/>
        <item x="1"/>
        <item x="3"/>
        <item x="0"/>
        <item t="default"/>
      </items>
    </pivotField>
    <pivotField axis="axisRow" showAll="0">
      <items count="4">
        <item x="0"/>
        <item x="1"/>
        <item x="2"/>
        <item t="default"/>
      </items>
    </pivotField>
  </pivotFields>
  <rowFields count="1">
    <field x="8"/>
  </rowFields>
  <rowItems count="4">
    <i>
      <x/>
    </i>
    <i>
      <x v="1"/>
    </i>
    <i>
      <x v="2"/>
    </i>
    <i t="grand">
      <x/>
    </i>
  </rowItems>
  <colFields count="1">
    <field x="-2"/>
  </colFields>
  <colItems count="2">
    <i>
      <x/>
    </i>
    <i i="1">
      <x v="1"/>
    </i>
  </colItems>
  <dataFields count="2">
    <dataField name="Rating " fld="6" subtotal="average" baseField="8" baseItem="0"/>
    <dataField name="Review  " fld="5" subtotal="average" baseField="8" baseItem="0"/>
  </dataFields>
  <formats count="8">
    <format dxfId="198">
      <pivotArea collapsedLevelsAreSubtotals="1" fieldPosition="0">
        <references count="2">
          <reference field="4294967294" count="1" selected="0">
            <x v="0"/>
          </reference>
          <reference field="8" count="0"/>
        </references>
      </pivotArea>
    </format>
    <format dxfId="199">
      <pivotArea collapsedLevelsAreSubtotals="1" fieldPosition="0">
        <references count="2">
          <reference field="4294967294" count="1" selected="0">
            <x v="1"/>
          </reference>
          <reference field="8" count="0"/>
        </references>
      </pivotArea>
    </format>
    <format dxfId="200">
      <pivotArea type="all" dataOnly="0" outline="0" fieldPosition="0"/>
    </format>
    <format dxfId="201">
      <pivotArea outline="0" collapsedLevelsAreSubtotals="1" fieldPosition="0"/>
    </format>
    <format dxfId="202">
      <pivotArea field="8" type="button" dataOnly="0" labelOnly="1" outline="0" axis="axisRow" fieldPosition="0"/>
    </format>
    <format dxfId="203">
      <pivotArea dataOnly="0" labelOnly="1" fieldPosition="0">
        <references count="1">
          <reference field="8" count="0"/>
        </references>
      </pivotArea>
    </format>
    <format dxfId="204">
      <pivotArea dataOnly="0" labelOnly="1" grandRow="1" outline="0" fieldPosition="0"/>
    </format>
    <format dxfId="20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8C7859-8005-4346-9088-B4FFBC9B941F}" name="PivotTable6" cacheId="3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_Name">
  <location ref="G14:J25" firstHeaderRow="0" firstDataRow="1" firstDataCol="1"/>
  <pivotFields count="9">
    <pivotField axis="axisRow" showAll="0" measureFilter="1">
      <items count="111">
        <item x="51"/>
        <item x="4"/>
        <item x="49"/>
        <item x="18"/>
        <item x="20"/>
        <item x="0"/>
        <item x="93"/>
        <item x="38"/>
        <item x="1"/>
        <item x="94"/>
        <item x="107"/>
        <item x="13"/>
        <item x="109"/>
        <item x="61"/>
        <item x="88"/>
        <item x="77"/>
        <item x="48"/>
        <item x="40"/>
        <item x="28"/>
        <item x="3"/>
        <item x="80"/>
        <item x="17"/>
        <item x="71"/>
        <item x="19"/>
        <item x="69"/>
        <item x="82"/>
        <item x="36"/>
        <item x="8"/>
        <item x="6"/>
        <item x="9"/>
        <item x="89"/>
        <item x="16"/>
        <item x="58"/>
        <item x="76"/>
        <item x="92"/>
        <item x="72"/>
        <item x="31"/>
        <item x="83"/>
        <item x="85"/>
        <item x="10"/>
        <item x="66"/>
        <item x="46"/>
        <item x="32"/>
        <item x="68"/>
        <item x="84"/>
        <item x="53"/>
        <item x="78"/>
        <item x="64"/>
        <item x="67"/>
        <item x="70"/>
        <item x="90"/>
        <item x="62"/>
        <item x="74"/>
        <item x="45"/>
        <item x="59"/>
        <item x="101"/>
        <item x="86"/>
        <item x="50"/>
        <item x="56"/>
        <item x="29"/>
        <item x="2"/>
        <item x="24"/>
        <item x="15"/>
        <item x="21"/>
        <item x="54"/>
        <item x="12"/>
        <item x="57"/>
        <item x="41"/>
        <item x="27"/>
        <item x="44"/>
        <item x="34"/>
        <item x="37"/>
        <item x="87"/>
        <item x="25"/>
        <item x="35"/>
        <item x="91"/>
        <item x="43"/>
        <item x="55"/>
        <item x="14"/>
        <item x="100"/>
        <item x="65"/>
        <item x="26"/>
        <item x="81"/>
        <item x="79"/>
        <item x="102"/>
        <item x="23"/>
        <item x="96"/>
        <item x="98"/>
        <item x="47"/>
        <item x="104"/>
        <item x="95"/>
        <item x="42"/>
        <item x="7"/>
        <item x="106"/>
        <item x="22"/>
        <item x="73"/>
        <item x="5"/>
        <item x="75"/>
        <item x="105"/>
        <item x="103"/>
        <item x="60"/>
        <item x="108"/>
        <item x="11"/>
        <item x="63"/>
        <item x="99"/>
        <item x="52"/>
        <item x="97"/>
        <item x="33"/>
        <item x="30"/>
        <item x="39"/>
        <item t="default"/>
      </items>
    </pivotField>
    <pivotField showAll="0"/>
    <pivotField showAll="0"/>
    <pivotField showAll="0"/>
    <pivotField dataField="1" numFmtId="9" showAll="0"/>
    <pivotField dataField="1" showAll="0"/>
    <pivotField dataField="1" showAll="0"/>
    <pivotField showAll="0">
      <items count="5">
        <item x="2"/>
        <item x="1"/>
        <item x="3"/>
        <item x="0"/>
        <item t="default"/>
      </items>
    </pivotField>
    <pivotField showAll="0">
      <items count="4">
        <item x="0"/>
        <item x="2"/>
        <item x="1"/>
        <item t="default"/>
      </items>
    </pivotField>
  </pivotFields>
  <rowFields count="1">
    <field x="0"/>
  </rowFields>
  <rowItems count="11">
    <i>
      <x v="1"/>
    </i>
    <i>
      <x v="5"/>
    </i>
    <i>
      <x v="8"/>
    </i>
    <i>
      <x v="19"/>
    </i>
    <i>
      <x v="27"/>
    </i>
    <i>
      <x v="28"/>
    </i>
    <i>
      <x v="29"/>
    </i>
    <i>
      <x v="60"/>
    </i>
    <i>
      <x v="92"/>
    </i>
    <i>
      <x v="96"/>
    </i>
    <i t="grand">
      <x/>
    </i>
  </rowItems>
  <colFields count="1">
    <field x="-2"/>
  </colFields>
  <colItems count="3">
    <i>
      <x/>
    </i>
    <i i="1">
      <x v="1"/>
    </i>
    <i i="2">
      <x v="2"/>
    </i>
  </colItems>
  <dataFields count="3">
    <dataField name="Ratings " fld="6" subtotal="average" baseField="0" baseItem="1"/>
    <dataField name="Reviews " fld="5" baseField="0" baseItem="0"/>
    <dataField name="Discount " fld="4" subtotal="average" baseField="0" baseItem="1" numFmtId="9"/>
  </dataFields>
  <formats count="7">
    <format dxfId="51">
      <pivotArea dataOnly="0" labelOnly="1" fieldPosition="0">
        <references count="1">
          <reference field="0" count="1">
            <x v="29"/>
          </reference>
        </references>
      </pivotArea>
    </format>
    <format dxfId="52">
      <pivotArea type="all" dataOnly="0" outline="0" fieldPosition="0"/>
    </format>
    <format dxfId="53">
      <pivotArea outline="0" collapsedLevelsAreSubtotals="1" fieldPosition="0"/>
    </format>
    <format dxfId="54">
      <pivotArea field="0" type="button" dataOnly="0" labelOnly="1" outline="0" axis="axisRow" fieldPosition="0"/>
    </format>
    <format dxfId="55">
      <pivotArea dataOnly="0" labelOnly="1" fieldPosition="0">
        <references count="1">
          <reference field="0" count="10">
            <x v="1"/>
            <x v="5"/>
            <x v="8"/>
            <x v="19"/>
            <x v="27"/>
            <x v="28"/>
            <x v="29"/>
            <x v="60"/>
            <x v="92"/>
            <x v="96"/>
          </reference>
        </references>
      </pivotArea>
    </format>
    <format dxfId="56">
      <pivotArea dataOnly="0" labelOnly="1" grandRow="1" outline="0" fieldPosition="0"/>
    </format>
    <format dxfId="57">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filters count="1">
    <filter fld="0" type="count" evalOrder="-1" id="2"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s_performance" xr10:uid="{E615EE7C-A659-4FB0-B326-55F53E09C51A}" sourceName="Ratings_performance">
  <pivotTables>
    <pivotTable tabId="2" name="PivotTable6"/>
    <pivotTable tabId="1" name="PivotTable5"/>
    <pivotTable tabId="1" name="PivotTable6"/>
    <pivotTable tabId="2" name="PivotTable16"/>
  </pivotTables>
  <data>
    <tabular pivotCacheId="1633960319">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3EB6879B-0430-4383-A50C-CE28E3F70EBA}" sourceName="Discount Category">
  <pivotTables>
    <pivotTable tabId="2" name="PivotTable6"/>
    <pivotTable tabId="1" name="PivotTable5"/>
    <pivotTable tabId="1" name="PivotTable6"/>
    <pivotTable tabId="2" name="PivotTable16"/>
  </pivotTables>
  <data>
    <tabular pivotCacheId="163396031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s_performance" xr10:uid="{F4683B1C-F2DA-436A-8D12-51C067FCD166}" cache="Slicer_Ratings_performance" caption="Ratings_performance" rowHeight="234950"/>
  <slicer name="Discount Category" xr10:uid="{C6362807-C39C-4BB4-BA03-189C2FD745C8}" cache="Slicer_Discount_Category" caption="Discount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9EB6CC-E127-4EC6-90BE-BF7FCEAA65D3}" name="Table1" displayName="Table1" ref="A1:I114" totalsRowShown="0">
  <autoFilter ref="A1:I114" xr:uid="{F49EB6CC-E127-4EC6-90BE-BF7FCEAA65D3}"/>
  <sortState xmlns:xlrd2="http://schemas.microsoft.com/office/spreadsheetml/2017/richdata2" ref="A2:I114">
    <sortCondition descending="1" ref="F1:F114"/>
  </sortState>
  <tableColumns count="9">
    <tableColumn id="1" xr3:uid="{0EAD28A7-FD05-4142-A3D7-245DB55B7AE4}" name="Product"/>
    <tableColumn id="2" xr3:uid="{AD8C42FE-4268-42B5-BCF0-04FD766273F4}" name="Current price"/>
    <tableColumn id="3" xr3:uid="{0BB55E06-F8FA-47BD-8D63-70D9EA551FA7}" name="Old price"/>
    <tableColumn id="4" xr3:uid="{58FF2D47-C3CB-4D43-85BA-8E2A9E6F08CE}" name="Absolute discount"/>
    <tableColumn id="5" xr3:uid="{CFFFD444-6FC1-40EF-9E34-ACDB6EA8C8C5}" name="Discount" dataDxfId="243"/>
    <tableColumn id="6" xr3:uid="{DFAC5E39-03D8-46A4-9260-8898005D1EFB}" name="Review" dataDxfId="242"/>
    <tableColumn id="7" xr3:uid="{458FC028-27DC-4D4A-8732-81145D13CDC2}" name="Ratings"/>
    <tableColumn id="8" xr3:uid="{B0ACB13B-DB21-4032-A2D2-B5D92F194951}" name="Ratings_performance"/>
    <tableColumn id="9" xr3:uid="{46926037-2BE5-4C17-AB37-08159A5BC64B}" name="Discount 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DE633-8025-4181-8CBE-76DC7C6E3E73}">
  <sheetPr filterMode="1"/>
  <dimension ref="A1:AA114"/>
  <sheetViews>
    <sheetView tabSelected="1" zoomScaleNormal="100" workbookViewId="0">
      <selection activeCell="L63" sqref="L63"/>
    </sheetView>
  </sheetViews>
  <sheetFormatPr defaultRowHeight="13.8" x14ac:dyDescent="0.25"/>
  <cols>
    <col min="1" max="1" width="66" customWidth="1"/>
    <col min="2" max="2" width="14.296875" customWidth="1"/>
    <col min="3" max="3" width="10.5" customWidth="1"/>
    <col min="4" max="4" width="18.296875" customWidth="1"/>
    <col min="5" max="5" width="10.3984375" customWidth="1"/>
    <col min="6" max="6" width="9" customWidth="1"/>
    <col min="7" max="7" width="9.09765625" customWidth="1"/>
    <col min="8" max="8" width="21.09765625" customWidth="1"/>
    <col min="9" max="9" width="18.5" customWidth="1"/>
    <col min="13" max="13" width="2.69921875" customWidth="1"/>
    <col min="14" max="14" width="19.09765625" bestFit="1" customWidth="1"/>
    <col min="15" max="15" width="7.09765625" bestFit="1" customWidth="1"/>
    <col min="16" max="16" width="8.19921875" bestFit="1" customWidth="1"/>
    <col min="20" max="20" width="11.5" bestFit="1" customWidth="1"/>
    <col min="21" max="21" width="15.69921875" bestFit="1" customWidth="1"/>
    <col min="28" max="28" width="13" bestFit="1" customWidth="1"/>
    <col min="29" max="29" width="15.69921875" bestFit="1" customWidth="1"/>
  </cols>
  <sheetData>
    <row r="1" spans="1:24" x14ac:dyDescent="0.25">
      <c r="A1" t="s">
        <v>0</v>
      </c>
      <c r="B1" t="s">
        <v>1</v>
      </c>
      <c r="C1" t="s">
        <v>2</v>
      </c>
      <c r="D1" t="s">
        <v>3</v>
      </c>
      <c r="E1" t="s">
        <v>4</v>
      </c>
      <c r="F1" t="s">
        <v>5</v>
      </c>
      <c r="G1" t="s">
        <v>6</v>
      </c>
      <c r="H1" t="s">
        <v>7</v>
      </c>
      <c r="I1" t="s">
        <v>8</v>
      </c>
      <c r="M1" s="19" t="s">
        <v>125</v>
      </c>
      <c r="N1" s="20"/>
      <c r="O1" s="20"/>
      <c r="P1" s="20"/>
      <c r="Q1" s="20"/>
      <c r="R1" s="20"/>
      <c r="S1" s="20"/>
      <c r="T1" s="20"/>
      <c r="U1" s="20"/>
      <c r="V1" s="21"/>
    </row>
    <row r="2" spans="1:24" hidden="1" x14ac:dyDescent="0.25">
      <c r="A2" t="s">
        <v>77</v>
      </c>
      <c r="B2">
        <v>445</v>
      </c>
      <c r="C2">
        <v>873</v>
      </c>
      <c r="D2">
        <v>428</v>
      </c>
      <c r="E2" s="1">
        <v>0.49</v>
      </c>
      <c r="F2" s="3">
        <v>69</v>
      </c>
      <c r="G2">
        <v>2.8</v>
      </c>
      <c r="H2" t="s">
        <v>74</v>
      </c>
      <c r="I2" t="s">
        <v>14</v>
      </c>
      <c r="M2" s="4">
        <v>1</v>
      </c>
      <c r="N2" s="4" t="s">
        <v>126</v>
      </c>
      <c r="O2" s="5">
        <f>AVERAGE(Table1[Current price])</f>
        <v>1192.3185840707965</v>
      </c>
      <c r="P2" s="4"/>
      <c r="Q2" s="4"/>
      <c r="R2" s="4"/>
      <c r="S2" s="4"/>
      <c r="T2" s="4"/>
      <c r="U2" s="4"/>
      <c r="V2" s="4"/>
      <c r="X2">
        <f>COUNTA(Table1[Product])-1</f>
        <v>112</v>
      </c>
    </row>
    <row r="3" spans="1:24" hidden="1" x14ac:dyDescent="0.25">
      <c r="A3" t="s">
        <v>19</v>
      </c>
      <c r="B3">
        <v>2319</v>
      </c>
      <c r="C3">
        <v>3032</v>
      </c>
      <c r="D3">
        <v>713</v>
      </c>
      <c r="E3" s="1">
        <v>0.24</v>
      </c>
      <c r="F3" s="3">
        <v>55</v>
      </c>
      <c r="G3">
        <v>4.5999999999999996</v>
      </c>
      <c r="H3" t="s">
        <v>10</v>
      </c>
      <c r="I3" t="s">
        <v>11</v>
      </c>
      <c r="M3" s="4">
        <v>2</v>
      </c>
      <c r="N3" s="4" t="s">
        <v>127</v>
      </c>
      <c r="O3" s="5">
        <f>AVERAGE(Table1[Old price])</f>
        <v>1818.9734513274336</v>
      </c>
      <c r="P3" s="4"/>
      <c r="Q3" s="4"/>
      <c r="R3" s="4"/>
      <c r="S3" s="4"/>
      <c r="T3" s="4"/>
      <c r="U3" s="4"/>
      <c r="V3" s="4"/>
      <c r="X3" s="3">
        <f>COUNT(F2:F59)-2</f>
        <v>56</v>
      </c>
    </row>
    <row r="4" spans="1:24" x14ac:dyDescent="0.25">
      <c r="A4" t="s">
        <v>39</v>
      </c>
      <c r="B4">
        <v>420</v>
      </c>
      <c r="C4">
        <v>647</v>
      </c>
      <c r="D4">
        <v>227</v>
      </c>
      <c r="E4" s="1">
        <v>0.35</v>
      </c>
      <c r="F4" s="3">
        <v>49</v>
      </c>
      <c r="G4">
        <v>4.5999999999999996</v>
      </c>
      <c r="H4" t="s">
        <v>10</v>
      </c>
      <c r="I4" t="s">
        <v>11</v>
      </c>
      <c r="M4" s="4">
        <v>3</v>
      </c>
      <c r="N4" s="4" t="s">
        <v>128</v>
      </c>
      <c r="O4" s="7">
        <f>AVERAGE(Table1[Discount])</f>
        <v>0.36681415929203548</v>
      </c>
      <c r="P4" s="4"/>
      <c r="Q4" s="4"/>
      <c r="R4" s="4"/>
      <c r="S4" s="4"/>
      <c r="T4" s="4"/>
      <c r="U4" s="4"/>
      <c r="V4" s="4"/>
    </row>
    <row r="5" spans="1:24" x14ac:dyDescent="0.25">
      <c r="A5" t="s">
        <v>32</v>
      </c>
      <c r="B5">
        <v>998</v>
      </c>
      <c r="C5">
        <v>1966</v>
      </c>
      <c r="D5">
        <v>968</v>
      </c>
      <c r="E5" s="1">
        <v>0.49</v>
      </c>
      <c r="F5" s="3">
        <v>44</v>
      </c>
      <c r="G5">
        <v>4.5999999999999996</v>
      </c>
      <c r="H5" t="s">
        <v>10</v>
      </c>
      <c r="I5" t="s">
        <v>14</v>
      </c>
      <c r="M5" s="4">
        <v>4</v>
      </c>
      <c r="N5" s="4" t="s">
        <v>129</v>
      </c>
      <c r="O5" s="5">
        <f>AVERAGE(Table1[Ratings])</f>
        <v>3.9000000000000004</v>
      </c>
      <c r="P5" s="4"/>
      <c r="Q5" s="4"/>
      <c r="R5" s="4"/>
      <c r="S5" s="4"/>
      <c r="T5" s="4"/>
      <c r="U5" s="4"/>
      <c r="V5" s="4"/>
    </row>
    <row r="6" spans="1:24" x14ac:dyDescent="0.25">
      <c r="A6" t="s">
        <v>24</v>
      </c>
      <c r="B6">
        <v>990</v>
      </c>
      <c r="C6">
        <v>1500</v>
      </c>
      <c r="D6">
        <v>510</v>
      </c>
      <c r="E6" s="1">
        <v>0.34</v>
      </c>
      <c r="F6" s="3">
        <v>39</v>
      </c>
      <c r="G6">
        <v>4.7</v>
      </c>
      <c r="H6" t="s">
        <v>10</v>
      </c>
      <c r="I6" t="s">
        <v>11</v>
      </c>
      <c r="M6" s="4">
        <v>5</v>
      </c>
      <c r="N6" s="4" t="s">
        <v>130</v>
      </c>
      <c r="O6" s="4" t="str">
        <f>_xlfn.XLOOKUP(B2,Table1[Current price],Table1[Product])</f>
        <v>120W Cordless Vacuum Cleaners Handheld Electric Vacuum Cleaner</v>
      </c>
      <c r="P6" s="4"/>
      <c r="Q6" s="4"/>
      <c r="R6" s="4"/>
      <c r="S6" s="4"/>
      <c r="T6" s="4"/>
      <c r="U6" s="4"/>
      <c r="V6" s="4"/>
    </row>
    <row r="7" spans="1:24" x14ac:dyDescent="0.25">
      <c r="A7" t="s">
        <v>51</v>
      </c>
      <c r="B7">
        <v>389</v>
      </c>
      <c r="C7">
        <v>656</v>
      </c>
      <c r="D7">
        <v>267</v>
      </c>
      <c r="E7" s="1">
        <v>0.41</v>
      </c>
      <c r="F7" s="3">
        <v>36</v>
      </c>
      <c r="G7">
        <v>4.3</v>
      </c>
      <c r="H7" t="s">
        <v>13</v>
      </c>
      <c r="I7" t="s">
        <v>14</v>
      </c>
      <c r="M7" s="4">
        <v>6</v>
      </c>
      <c r="N7" s="4" t="s">
        <v>131</v>
      </c>
      <c r="O7" s="4" t="str">
        <f>_xlfn.XLOOKUP(B114,Table1[Current price],Table1[Product])</f>
        <v>24 Grid Wall-Mounted Sundries Organiser Fabric Closet Bag Storage Rack</v>
      </c>
      <c r="P7" s="4"/>
      <c r="Q7" s="4"/>
      <c r="R7" s="4"/>
      <c r="S7" s="4"/>
      <c r="T7" s="4"/>
      <c r="U7" s="4"/>
      <c r="V7" s="4"/>
    </row>
    <row r="8" spans="1:24" x14ac:dyDescent="0.25">
      <c r="A8" t="s">
        <v>48</v>
      </c>
      <c r="B8">
        <v>1980</v>
      </c>
      <c r="C8">
        <v>2699</v>
      </c>
      <c r="D8">
        <v>719</v>
      </c>
      <c r="E8" s="1">
        <v>0.27</v>
      </c>
      <c r="F8" s="3">
        <v>32</v>
      </c>
      <c r="G8">
        <v>4.5</v>
      </c>
      <c r="H8" t="s">
        <v>10</v>
      </c>
      <c r="I8" t="s">
        <v>11</v>
      </c>
    </row>
    <row r="9" spans="1:24" x14ac:dyDescent="0.25">
      <c r="A9" t="s">
        <v>15</v>
      </c>
      <c r="B9">
        <v>2199</v>
      </c>
      <c r="C9">
        <v>2923</v>
      </c>
      <c r="D9">
        <v>724</v>
      </c>
      <c r="E9" s="1">
        <v>0.25</v>
      </c>
      <c r="F9" s="3">
        <v>24</v>
      </c>
      <c r="G9">
        <v>4.5999999999999996</v>
      </c>
      <c r="H9" t="s">
        <v>10</v>
      </c>
      <c r="I9" t="s">
        <v>11</v>
      </c>
    </row>
    <row r="10" spans="1:24" x14ac:dyDescent="0.25">
      <c r="A10" t="s">
        <v>42</v>
      </c>
      <c r="B10">
        <v>1758</v>
      </c>
      <c r="C10">
        <v>2499</v>
      </c>
      <c r="D10">
        <v>741</v>
      </c>
      <c r="E10" s="1">
        <v>0.3</v>
      </c>
      <c r="F10" s="3">
        <v>20</v>
      </c>
      <c r="G10">
        <v>4.0999999999999996</v>
      </c>
      <c r="H10" t="s">
        <v>13</v>
      </c>
      <c r="I10" t="s">
        <v>11</v>
      </c>
      <c r="M10" s="16" t="s">
        <v>132</v>
      </c>
      <c r="N10" s="16"/>
      <c r="O10" s="16"/>
      <c r="P10" s="16"/>
      <c r="Q10" s="16"/>
      <c r="R10" s="16"/>
      <c r="S10" s="16"/>
      <c r="T10" s="16"/>
      <c r="U10" s="16"/>
      <c r="V10" s="16"/>
    </row>
    <row r="11" spans="1:24" x14ac:dyDescent="0.25">
      <c r="A11" t="s">
        <v>47</v>
      </c>
      <c r="B11">
        <v>1940</v>
      </c>
      <c r="C11">
        <v>2650</v>
      </c>
      <c r="D11">
        <v>710</v>
      </c>
      <c r="E11" s="1">
        <v>0.27</v>
      </c>
      <c r="F11" s="3">
        <v>20</v>
      </c>
      <c r="G11">
        <v>4.7</v>
      </c>
      <c r="H11" t="s">
        <v>10</v>
      </c>
      <c r="I11" t="s">
        <v>11</v>
      </c>
      <c r="M11">
        <v>1</v>
      </c>
      <c r="N11" t="s">
        <v>133</v>
      </c>
      <c r="O11" s="6">
        <f>CORREL(Table1[Discount],Table1[Review])</f>
        <v>-0.12091709334889553</v>
      </c>
      <c r="P11" t="s">
        <v>135</v>
      </c>
    </row>
    <row r="12" spans="1:24" x14ac:dyDescent="0.25">
      <c r="A12" t="s">
        <v>83</v>
      </c>
      <c r="B12">
        <v>382</v>
      </c>
      <c r="C12">
        <v>700</v>
      </c>
      <c r="D12">
        <v>318</v>
      </c>
      <c r="E12" s="1">
        <v>0.45</v>
      </c>
      <c r="F12" s="3">
        <v>17</v>
      </c>
      <c r="G12">
        <v>2.6</v>
      </c>
      <c r="H12" t="s">
        <v>74</v>
      </c>
      <c r="I12" t="s">
        <v>14</v>
      </c>
      <c r="M12">
        <v>2</v>
      </c>
      <c r="N12" t="s">
        <v>134</v>
      </c>
      <c r="O12" s="6">
        <f>CORREL(Table1[Review],G2:G114)</f>
        <v>4.8487256509715339E-2</v>
      </c>
      <c r="P12" t="s">
        <v>136</v>
      </c>
    </row>
    <row r="13" spans="1:24" x14ac:dyDescent="0.25">
      <c r="A13" t="s">
        <v>79</v>
      </c>
      <c r="B13">
        <v>1220</v>
      </c>
      <c r="C13">
        <v>1555</v>
      </c>
      <c r="D13">
        <v>335</v>
      </c>
      <c r="E13" s="1">
        <v>0.22</v>
      </c>
      <c r="F13" s="3">
        <v>16</v>
      </c>
      <c r="G13">
        <v>2.9</v>
      </c>
      <c r="H13" t="s">
        <v>74</v>
      </c>
      <c r="I13" t="s">
        <v>11</v>
      </c>
    </row>
    <row r="14" spans="1:24" x14ac:dyDescent="0.25">
      <c r="A14" t="s">
        <v>78</v>
      </c>
      <c r="B14">
        <v>325</v>
      </c>
      <c r="C14">
        <v>680</v>
      </c>
      <c r="D14">
        <v>355</v>
      </c>
      <c r="E14" s="1">
        <v>0.52</v>
      </c>
      <c r="F14" s="3">
        <v>15</v>
      </c>
      <c r="G14">
        <v>2.7</v>
      </c>
      <c r="H14" t="s">
        <v>74</v>
      </c>
      <c r="I14" t="s">
        <v>14</v>
      </c>
    </row>
    <row r="15" spans="1:24" x14ac:dyDescent="0.25">
      <c r="A15" t="s">
        <v>18</v>
      </c>
      <c r="B15">
        <v>2999</v>
      </c>
      <c r="C15">
        <v>3290</v>
      </c>
      <c r="D15">
        <v>291</v>
      </c>
      <c r="E15" s="1">
        <v>0.09</v>
      </c>
      <c r="F15" s="3">
        <v>15</v>
      </c>
      <c r="G15">
        <v>4</v>
      </c>
      <c r="H15" t="s">
        <v>13</v>
      </c>
      <c r="I15" t="s">
        <v>143</v>
      </c>
    </row>
    <row r="16" spans="1:24" x14ac:dyDescent="0.25">
      <c r="A16" t="s">
        <v>12</v>
      </c>
      <c r="B16">
        <v>527</v>
      </c>
      <c r="C16">
        <v>999</v>
      </c>
      <c r="D16">
        <v>472</v>
      </c>
      <c r="E16" s="1">
        <v>0.47</v>
      </c>
      <c r="F16" s="3">
        <v>14</v>
      </c>
      <c r="G16">
        <v>4.0999999999999996</v>
      </c>
      <c r="H16" t="s">
        <v>13</v>
      </c>
      <c r="I16" t="s">
        <v>14</v>
      </c>
    </row>
    <row r="17" spans="1:9" x14ac:dyDescent="0.25">
      <c r="A17" t="s">
        <v>37</v>
      </c>
      <c r="B17">
        <v>1650</v>
      </c>
      <c r="C17">
        <v>2150</v>
      </c>
      <c r="D17">
        <v>500</v>
      </c>
      <c r="E17" s="1">
        <v>0.23</v>
      </c>
      <c r="F17" s="3">
        <v>14</v>
      </c>
      <c r="G17">
        <v>4.4000000000000004</v>
      </c>
      <c r="H17" t="s">
        <v>13</v>
      </c>
      <c r="I17" t="s">
        <v>11</v>
      </c>
    </row>
    <row r="18" spans="1:9" x14ac:dyDescent="0.25">
      <c r="A18" t="s">
        <v>76</v>
      </c>
      <c r="B18">
        <v>2115</v>
      </c>
      <c r="C18">
        <v>4700</v>
      </c>
      <c r="D18">
        <v>2585</v>
      </c>
      <c r="E18" s="1">
        <v>0.55000000000000004</v>
      </c>
      <c r="F18" s="3">
        <v>13</v>
      </c>
      <c r="G18">
        <v>2.1</v>
      </c>
      <c r="H18" t="s">
        <v>74</v>
      </c>
      <c r="I18" t="s">
        <v>14</v>
      </c>
    </row>
    <row r="19" spans="1:9" x14ac:dyDescent="0.25">
      <c r="A19" t="s">
        <v>33</v>
      </c>
      <c r="B19">
        <v>38</v>
      </c>
      <c r="C19">
        <v>80</v>
      </c>
      <c r="D19">
        <v>42</v>
      </c>
      <c r="E19" s="1">
        <v>0.53</v>
      </c>
      <c r="F19" s="3">
        <v>13</v>
      </c>
      <c r="G19">
        <v>3.3</v>
      </c>
      <c r="H19" t="s">
        <v>13</v>
      </c>
      <c r="I19" t="s">
        <v>14</v>
      </c>
    </row>
    <row r="20" spans="1:9" x14ac:dyDescent="0.25">
      <c r="A20" t="s">
        <v>41</v>
      </c>
      <c r="B20">
        <v>1350</v>
      </c>
      <c r="C20">
        <v>1990</v>
      </c>
      <c r="D20">
        <v>640</v>
      </c>
      <c r="E20" s="1">
        <v>0.32</v>
      </c>
      <c r="F20" s="3">
        <v>13</v>
      </c>
      <c r="G20">
        <v>3.8</v>
      </c>
      <c r="H20" t="s">
        <v>13</v>
      </c>
      <c r="I20" t="s">
        <v>11</v>
      </c>
    </row>
    <row r="21" spans="1:9" x14ac:dyDescent="0.25">
      <c r="A21" t="s">
        <v>25</v>
      </c>
      <c r="B21">
        <v>552</v>
      </c>
      <c r="C21">
        <v>1035</v>
      </c>
      <c r="D21">
        <v>483</v>
      </c>
      <c r="E21" s="1">
        <v>0.47</v>
      </c>
      <c r="F21" s="3">
        <v>12</v>
      </c>
      <c r="G21">
        <v>4.8</v>
      </c>
      <c r="H21" t="s">
        <v>10</v>
      </c>
      <c r="I21" t="s">
        <v>14</v>
      </c>
    </row>
    <row r="22" spans="1:9" x14ac:dyDescent="0.25">
      <c r="A22" t="s">
        <v>45</v>
      </c>
      <c r="B22">
        <v>980</v>
      </c>
      <c r="C22">
        <v>1490</v>
      </c>
      <c r="D22">
        <v>510</v>
      </c>
      <c r="E22" s="1">
        <v>0.34</v>
      </c>
      <c r="F22" s="3">
        <v>12</v>
      </c>
      <c r="G22">
        <v>4.7</v>
      </c>
      <c r="H22" t="s">
        <v>10</v>
      </c>
      <c r="I22" t="s">
        <v>11</v>
      </c>
    </row>
    <row r="23" spans="1:9" x14ac:dyDescent="0.25">
      <c r="A23" t="s">
        <v>23</v>
      </c>
      <c r="B23">
        <v>799</v>
      </c>
      <c r="C23">
        <v>999</v>
      </c>
      <c r="D23">
        <v>200</v>
      </c>
      <c r="E23" s="1">
        <v>0.2</v>
      </c>
      <c r="F23" s="3">
        <v>12</v>
      </c>
      <c r="G23">
        <v>4.0999999999999996</v>
      </c>
      <c r="H23" t="s">
        <v>13</v>
      </c>
      <c r="I23" t="s">
        <v>11</v>
      </c>
    </row>
    <row r="24" spans="1:9" x14ac:dyDescent="0.25">
      <c r="A24" t="s">
        <v>40</v>
      </c>
      <c r="B24">
        <v>2880</v>
      </c>
      <c r="C24">
        <v>3520</v>
      </c>
      <c r="D24">
        <v>640</v>
      </c>
      <c r="E24" s="1">
        <v>0.18</v>
      </c>
      <c r="F24" s="3">
        <v>12</v>
      </c>
      <c r="G24">
        <v>3.8</v>
      </c>
      <c r="H24" t="s">
        <v>13</v>
      </c>
      <c r="I24" t="s">
        <v>143</v>
      </c>
    </row>
    <row r="25" spans="1:9" x14ac:dyDescent="0.25">
      <c r="A25" t="s">
        <v>75</v>
      </c>
      <c r="B25">
        <v>458</v>
      </c>
      <c r="C25">
        <v>986</v>
      </c>
      <c r="D25">
        <v>528</v>
      </c>
      <c r="E25" s="1">
        <v>0.54</v>
      </c>
      <c r="F25" s="3">
        <v>10</v>
      </c>
      <c r="G25">
        <v>3</v>
      </c>
      <c r="H25" t="s">
        <v>13</v>
      </c>
      <c r="I25" t="s">
        <v>14</v>
      </c>
    </row>
    <row r="26" spans="1:9" x14ac:dyDescent="0.25">
      <c r="A26" t="s">
        <v>44</v>
      </c>
      <c r="B26">
        <v>185</v>
      </c>
      <c r="C26">
        <v>382</v>
      </c>
      <c r="D26">
        <v>197</v>
      </c>
      <c r="E26" s="1">
        <v>0.52</v>
      </c>
      <c r="F26" s="3">
        <v>9</v>
      </c>
      <c r="G26">
        <v>4.3</v>
      </c>
      <c r="H26" t="s">
        <v>13</v>
      </c>
      <c r="I26" t="s">
        <v>14</v>
      </c>
    </row>
    <row r="27" spans="1:9" x14ac:dyDescent="0.25">
      <c r="A27" t="s">
        <v>46</v>
      </c>
      <c r="B27">
        <v>1820</v>
      </c>
      <c r="C27">
        <v>3490</v>
      </c>
      <c r="D27">
        <v>1670</v>
      </c>
      <c r="E27" s="1">
        <v>0.48</v>
      </c>
      <c r="F27" s="3">
        <v>9</v>
      </c>
      <c r="G27">
        <v>4.3</v>
      </c>
      <c r="H27" t="s">
        <v>13</v>
      </c>
      <c r="I27" t="s">
        <v>14</v>
      </c>
    </row>
    <row r="28" spans="1:9" x14ac:dyDescent="0.25">
      <c r="A28" t="s">
        <v>27</v>
      </c>
      <c r="B28">
        <v>1680</v>
      </c>
      <c r="C28">
        <v>2499</v>
      </c>
      <c r="D28">
        <v>819</v>
      </c>
      <c r="E28" s="1">
        <v>0.33</v>
      </c>
      <c r="F28" s="3">
        <v>9</v>
      </c>
      <c r="G28">
        <v>4.2</v>
      </c>
      <c r="H28" t="s">
        <v>13</v>
      </c>
      <c r="I28" t="s">
        <v>11</v>
      </c>
    </row>
    <row r="29" spans="1:9" x14ac:dyDescent="0.25">
      <c r="A29" t="s">
        <v>38</v>
      </c>
      <c r="B29">
        <v>2048</v>
      </c>
      <c r="C29">
        <v>4500</v>
      </c>
      <c r="D29">
        <v>2452</v>
      </c>
      <c r="E29" s="1">
        <v>0.54</v>
      </c>
      <c r="F29" s="3">
        <v>7</v>
      </c>
      <c r="G29">
        <v>4.3</v>
      </c>
      <c r="H29" t="s">
        <v>13</v>
      </c>
      <c r="I29" t="s">
        <v>14</v>
      </c>
    </row>
    <row r="30" spans="1:9" x14ac:dyDescent="0.25">
      <c r="A30" t="s">
        <v>81</v>
      </c>
      <c r="B30">
        <v>1000</v>
      </c>
      <c r="C30">
        <v>2000</v>
      </c>
      <c r="D30">
        <v>1000</v>
      </c>
      <c r="E30" s="1">
        <v>0.5</v>
      </c>
      <c r="F30" s="3">
        <v>7</v>
      </c>
      <c r="G30">
        <v>2.2999999999999998</v>
      </c>
      <c r="H30" t="s">
        <v>74</v>
      </c>
      <c r="I30" t="s">
        <v>14</v>
      </c>
    </row>
    <row r="31" spans="1:9" x14ac:dyDescent="0.25">
      <c r="A31" t="s">
        <v>88</v>
      </c>
      <c r="B31">
        <v>1570</v>
      </c>
      <c r="C31">
        <v>2988</v>
      </c>
      <c r="D31">
        <v>1418</v>
      </c>
      <c r="E31" s="1">
        <v>0.47</v>
      </c>
      <c r="F31" s="3">
        <v>7</v>
      </c>
      <c r="G31">
        <v>2.1</v>
      </c>
      <c r="H31" t="s">
        <v>74</v>
      </c>
      <c r="I31" t="s">
        <v>14</v>
      </c>
    </row>
    <row r="32" spans="1:9" x14ac:dyDescent="0.25">
      <c r="A32" t="s">
        <v>16</v>
      </c>
      <c r="B32">
        <v>1580</v>
      </c>
      <c r="C32">
        <v>2499</v>
      </c>
      <c r="D32">
        <v>919</v>
      </c>
      <c r="E32" s="1">
        <v>0.37</v>
      </c>
      <c r="F32" s="3">
        <v>7</v>
      </c>
      <c r="G32">
        <v>4.7</v>
      </c>
      <c r="H32" t="s">
        <v>10</v>
      </c>
      <c r="I32" t="s">
        <v>11</v>
      </c>
    </row>
    <row r="33" spans="1:27" x14ac:dyDescent="0.25">
      <c r="A33" t="s">
        <v>87</v>
      </c>
      <c r="B33">
        <v>968</v>
      </c>
      <c r="C33">
        <v>1814</v>
      </c>
      <c r="D33">
        <v>846</v>
      </c>
      <c r="E33" s="1">
        <v>0.47</v>
      </c>
      <c r="F33" s="3">
        <v>6</v>
      </c>
      <c r="G33">
        <v>2.2000000000000002</v>
      </c>
      <c r="H33" t="s">
        <v>74</v>
      </c>
      <c r="I33" t="s">
        <v>14</v>
      </c>
      <c r="N33" s="19" t="s">
        <v>139</v>
      </c>
      <c r="O33" s="20"/>
      <c r="P33" s="20"/>
      <c r="Q33" s="20"/>
      <c r="R33" s="21"/>
      <c r="T33" s="19" t="s">
        <v>138</v>
      </c>
      <c r="U33" s="20"/>
      <c r="V33" s="20"/>
      <c r="W33" s="20"/>
      <c r="X33" s="20"/>
      <c r="Y33" s="20"/>
      <c r="Z33" s="20"/>
      <c r="AA33" s="21"/>
    </row>
    <row r="34" spans="1:27" x14ac:dyDescent="0.25">
      <c r="A34" t="s">
        <v>80</v>
      </c>
      <c r="B34">
        <v>990</v>
      </c>
      <c r="C34">
        <v>1814</v>
      </c>
      <c r="D34">
        <v>824</v>
      </c>
      <c r="E34" s="1">
        <v>0.45</v>
      </c>
      <c r="F34" s="3">
        <v>6</v>
      </c>
      <c r="G34">
        <v>2.2000000000000002</v>
      </c>
      <c r="H34" t="s">
        <v>74</v>
      </c>
      <c r="I34" t="s">
        <v>14</v>
      </c>
      <c r="M34">
        <v>1</v>
      </c>
      <c r="N34" s="22" t="s">
        <v>114</v>
      </c>
      <c r="O34" s="23"/>
      <c r="P34" s="23"/>
      <c r="Q34" s="23"/>
      <c r="R34" s="24"/>
      <c r="T34" s="22" t="s">
        <v>123</v>
      </c>
      <c r="U34" s="23"/>
      <c r="V34" s="23"/>
      <c r="W34" s="23"/>
      <c r="X34" s="23"/>
      <c r="Y34" s="23"/>
      <c r="Z34" s="23"/>
      <c r="AA34" s="24"/>
    </row>
    <row r="35" spans="1:27" x14ac:dyDescent="0.25">
      <c r="A35" t="s">
        <v>85</v>
      </c>
      <c r="B35">
        <v>345</v>
      </c>
      <c r="C35">
        <v>602</v>
      </c>
      <c r="D35">
        <v>257</v>
      </c>
      <c r="E35" s="1">
        <v>0.43</v>
      </c>
      <c r="F35" s="3">
        <v>6</v>
      </c>
      <c r="G35">
        <v>2.2999999999999998</v>
      </c>
      <c r="H35" t="s">
        <v>74</v>
      </c>
      <c r="I35" t="s">
        <v>14</v>
      </c>
      <c r="M35">
        <v>2</v>
      </c>
      <c r="N35" s="22" t="s">
        <v>30</v>
      </c>
      <c r="O35" s="23"/>
      <c r="P35" s="23"/>
      <c r="Q35" s="23"/>
      <c r="R35" s="24"/>
      <c r="T35" s="22" t="s">
        <v>76</v>
      </c>
      <c r="U35" s="23"/>
      <c r="V35" s="23"/>
      <c r="W35" s="23"/>
      <c r="X35" s="23"/>
      <c r="Y35" s="23"/>
      <c r="Z35" s="23"/>
      <c r="AA35" s="24"/>
    </row>
    <row r="36" spans="1:27" x14ac:dyDescent="0.25">
      <c r="A36" t="s">
        <v>26</v>
      </c>
      <c r="B36">
        <v>501</v>
      </c>
      <c r="C36">
        <v>860</v>
      </c>
      <c r="D36">
        <v>359</v>
      </c>
      <c r="E36" s="1">
        <v>0.42</v>
      </c>
      <c r="F36" s="3">
        <v>6</v>
      </c>
      <c r="G36">
        <v>4.5</v>
      </c>
      <c r="H36" t="s">
        <v>10</v>
      </c>
      <c r="I36" t="s">
        <v>14</v>
      </c>
      <c r="M36">
        <v>3</v>
      </c>
      <c r="N36" s="22" t="s">
        <v>49</v>
      </c>
      <c r="O36" s="23"/>
      <c r="P36" s="23"/>
      <c r="Q36" s="23"/>
      <c r="R36" s="24"/>
      <c r="T36" s="22" t="s">
        <v>88</v>
      </c>
      <c r="U36" s="23"/>
      <c r="V36" s="23"/>
      <c r="W36" s="23"/>
      <c r="X36" s="23"/>
      <c r="Y36" s="23"/>
      <c r="Z36" s="23"/>
      <c r="AA36" s="24"/>
    </row>
    <row r="37" spans="1:27" x14ac:dyDescent="0.25">
      <c r="A37" t="s">
        <v>36</v>
      </c>
      <c r="B37">
        <v>880</v>
      </c>
      <c r="C37">
        <v>1350</v>
      </c>
      <c r="D37">
        <v>470</v>
      </c>
      <c r="E37" s="1">
        <v>0.35</v>
      </c>
      <c r="F37" s="3">
        <v>6</v>
      </c>
      <c r="G37">
        <v>4</v>
      </c>
      <c r="H37" t="s">
        <v>13</v>
      </c>
      <c r="I37" t="s">
        <v>11</v>
      </c>
      <c r="M37">
        <v>4</v>
      </c>
      <c r="N37" s="22" t="s">
        <v>94</v>
      </c>
      <c r="O37" s="23"/>
      <c r="P37" s="23"/>
      <c r="Q37" s="23"/>
      <c r="R37" s="24"/>
      <c r="T37" s="22" t="s">
        <v>80</v>
      </c>
      <c r="U37" s="23"/>
      <c r="V37" s="23"/>
      <c r="W37" s="23"/>
      <c r="X37" s="23"/>
      <c r="Y37" s="23"/>
      <c r="Z37" s="23"/>
      <c r="AA37" s="24"/>
    </row>
    <row r="38" spans="1:27" x14ac:dyDescent="0.25">
      <c r="A38" t="s">
        <v>73</v>
      </c>
      <c r="B38">
        <v>2170</v>
      </c>
      <c r="C38">
        <v>2500</v>
      </c>
      <c r="D38">
        <v>330</v>
      </c>
      <c r="E38" s="1">
        <v>0.13</v>
      </c>
      <c r="F38" s="3">
        <v>6</v>
      </c>
      <c r="G38">
        <v>2.5</v>
      </c>
      <c r="H38" t="s">
        <v>74</v>
      </c>
      <c r="I38" t="s">
        <v>143</v>
      </c>
      <c r="M38">
        <v>5</v>
      </c>
      <c r="N38" s="22" t="s">
        <v>28</v>
      </c>
      <c r="O38" s="23"/>
      <c r="P38" s="23"/>
      <c r="Q38" s="23"/>
      <c r="R38" s="24"/>
      <c r="T38" s="22" t="s">
        <v>87</v>
      </c>
      <c r="U38" s="23"/>
      <c r="V38" s="23"/>
      <c r="W38" s="23"/>
      <c r="X38" s="23"/>
      <c r="Y38" s="23"/>
      <c r="Z38" s="23"/>
      <c r="AA38" s="24"/>
    </row>
    <row r="39" spans="1:27" x14ac:dyDescent="0.25">
      <c r="A39" t="s">
        <v>21</v>
      </c>
      <c r="B39">
        <v>1274</v>
      </c>
      <c r="C39">
        <v>2800</v>
      </c>
      <c r="D39">
        <v>1526</v>
      </c>
      <c r="E39" s="1">
        <v>0.55000000000000004</v>
      </c>
      <c r="F39" s="3">
        <v>5</v>
      </c>
      <c r="G39">
        <v>4.8</v>
      </c>
      <c r="H39" t="s">
        <v>10</v>
      </c>
      <c r="I39" t="s">
        <v>14</v>
      </c>
    </row>
    <row r="40" spans="1:27" x14ac:dyDescent="0.25">
      <c r="A40" t="s">
        <v>22</v>
      </c>
      <c r="B40">
        <v>1600</v>
      </c>
      <c r="C40">
        <v>2929</v>
      </c>
      <c r="D40">
        <v>1329</v>
      </c>
      <c r="E40" s="1">
        <v>0.45</v>
      </c>
      <c r="F40" s="3">
        <v>5</v>
      </c>
      <c r="G40">
        <v>3.8</v>
      </c>
      <c r="H40" t="s">
        <v>13</v>
      </c>
      <c r="I40" t="s">
        <v>14</v>
      </c>
    </row>
    <row r="41" spans="1:27" x14ac:dyDescent="0.25">
      <c r="A41" t="s">
        <v>86</v>
      </c>
      <c r="B41">
        <v>509</v>
      </c>
      <c r="C41">
        <v>899</v>
      </c>
      <c r="D41">
        <v>390</v>
      </c>
      <c r="E41" s="1">
        <v>0.43</v>
      </c>
      <c r="F41" s="3">
        <v>5</v>
      </c>
      <c r="G41">
        <v>3</v>
      </c>
      <c r="H41" t="s">
        <v>13</v>
      </c>
      <c r="I41" t="s">
        <v>14</v>
      </c>
      <c r="N41" s="16" t="s">
        <v>137</v>
      </c>
      <c r="O41" s="16"/>
      <c r="P41" s="16"/>
      <c r="Q41" s="16"/>
      <c r="R41" s="16"/>
      <c r="T41" s="18" t="s">
        <v>140</v>
      </c>
      <c r="U41" s="18"/>
      <c r="V41" s="18"/>
      <c r="W41" s="18"/>
      <c r="X41" s="18"/>
      <c r="Y41" s="18"/>
      <c r="Z41" s="18"/>
      <c r="AA41" s="18"/>
    </row>
    <row r="42" spans="1:27" x14ac:dyDescent="0.25">
      <c r="A42" t="s">
        <v>82</v>
      </c>
      <c r="B42">
        <v>3750</v>
      </c>
      <c r="C42">
        <v>6143</v>
      </c>
      <c r="D42">
        <v>2393</v>
      </c>
      <c r="E42" s="1">
        <v>0.39</v>
      </c>
      <c r="F42" s="3">
        <v>5</v>
      </c>
      <c r="G42">
        <v>3</v>
      </c>
      <c r="H42" t="s">
        <v>13</v>
      </c>
      <c r="I42" t="s">
        <v>11</v>
      </c>
      <c r="M42">
        <v>1</v>
      </c>
      <c r="N42" s="17" t="s">
        <v>76</v>
      </c>
      <c r="O42" s="17"/>
      <c r="P42" s="17"/>
      <c r="Q42" s="17"/>
      <c r="R42" s="17"/>
      <c r="T42" s="13" t="s">
        <v>77</v>
      </c>
      <c r="U42" s="14"/>
      <c r="V42" s="14"/>
      <c r="W42" s="14"/>
      <c r="X42" s="14"/>
      <c r="Y42" s="14"/>
      <c r="Z42" s="14"/>
      <c r="AA42" s="15"/>
    </row>
    <row r="43" spans="1:27" x14ac:dyDescent="0.25">
      <c r="A43" t="s">
        <v>84</v>
      </c>
      <c r="B43">
        <v>2300</v>
      </c>
      <c r="C43">
        <v>3240</v>
      </c>
      <c r="D43">
        <v>940</v>
      </c>
      <c r="E43" s="1">
        <v>0.28999999999999998</v>
      </c>
      <c r="F43" s="3">
        <v>5</v>
      </c>
      <c r="G43">
        <v>3</v>
      </c>
      <c r="H43" t="s">
        <v>13</v>
      </c>
      <c r="I43" t="s">
        <v>11</v>
      </c>
      <c r="M43">
        <v>2</v>
      </c>
      <c r="N43" s="17" t="s">
        <v>38</v>
      </c>
      <c r="O43" s="17"/>
      <c r="P43" s="17"/>
      <c r="Q43" s="17"/>
      <c r="R43" s="17"/>
      <c r="T43" s="13" t="s">
        <v>19</v>
      </c>
      <c r="U43" s="14"/>
      <c r="V43" s="14"/>
      <c r="W43" s="14"/>
      <c r="X43" s="14"/>
      <c r="Y43" s="14"/>
      <c r="Z43" s="14"/>
      <c r="AA43" s="15"/>
    </row>
    <row r="44" spans="1:27" x14ac:dyDescent="0.25">
      <c r="A44" t="s">
        <v>17</v>
      </c>
      <c r="B44">
        <v>1740</v>
      </c>
      <c r="C44">
        <v>2356</v>
      </c>
      <c r="D44">
        <v>616</v>
      </c>
      <c r="E44" s="1">
        <v>0.26</v>
      </c>
      <c r="F44" s="3">
        <v>5</v>
      </c>
      <c r="G44">
        <v>4.8</v>
      </c>
      <c r="H44" t="s">
        <v>10</v>
      </c>
      <c r="I44" t="s">
        <v>11</v>
      </c>
      <c r="M44">
        <v>3</v>
      </c>
      <c r="N44" s="17" t="s">
        <v>82</v>
      </c>
      <c r="O44" s="17"/>
      <c r="P44" s="17"/>
      <c r="Q44" s="17"/>
      <c r="R44" s="17"/>
      <c r="T44" s="13" t="s">
        <v>39</v>
      </c>
      <c r="U44" s="14"/>
      <c r="V44" s="14"/>
      <c r="W44" s="14"/>
      <c r="X44" s="14"/>
      <c r="Y44" s="14"/>
      <c r="Z44" s="14"/>
      <c r="AA44" s="15"/>
    </row>
    <row r="45" spans="1:27" x14ac:dyDescent="0.25">
      <c r="A45" t="s">
        <v>31</v>
      </c>
      <c r="B45">
        <v>2999</v>
      </c>
      <c r="C45">
        <v>3699</v>
      </c>
      <c r="D45">
        <v>700</v>
      </c>
      <c r="E45" s="1">
        <v>0.19</v>
      </c>
      <c r="F45" s="3">
        <v>5</v>
      </c>
      <c r="G45">
        <v>4.5999999999999996</v>
      </c>
      <c r="H45" t="s">
        <v>10</v>
      </c>
      <c r="I45" t="s">
        <v>143</v>
      </c>
      <c r="M45">
        <v>4</v>
      </c>
      <c r="N45" s="17" t="s">
        <v>30</v>
      </c>
      <c r="O45" s="17"/>
      <c r="P45" s="17"/>
      <c r="Q45" s="17"/>
      <c r="R45" s="17"/>
      <c r="T45" s="13" t="s">
        <v>32</v>
      </c>
      <c r="U45" s="14"/>
      <c r="V45" s="14"/>
      <c r="W45" s="14"/>
      <c r="X45" s="14"/>
      <c r="Y45" s="14"/>
      <c r="Z45" s="14"/>
      <c r="AA45" s="15"/>
    </row>
    <row r="46" spans="1:27" x14ac:dyDescent="0.25">
      <c r="A46" t="s">
        <v>30</v>
      </c>
      <c r="B46">
        <v>2025</v>
      </c>
      <c r="C46">
        <v>3971</v>
      </c>
      <c r="D46">
        <v>1946</v>
      </c>
      <c r="E46" s="1">
        <v>0.49</v>
      </c>
      <c r="F46" s="3">
        <v>3</v>
      </c>
      <c r="G46">
        <v>5</v>
      </c>
      <c r="H46" t="s">
        <v>10</v>
      </c>
      <c r="I46" t="s">
        <v>14</v>
      </c>
      <c r="M46">
        <v>5</v>
      </c>
      <c r="N46" s="17" t="s">
        <v>43</v>
      </c>
      <c r="O46" s="17"/>
      <c r="P46" s="17"/>
      <c r="Q46" s="17"/>
      <c r="R46" s="17"/>
      <c r="T46" s="13" t="s">
        <v>24</v>
      </c>
      <c r="U46" s="14"/>
      <c r="V46" s="14"/>
      <c r="W46" s="14"/>
      <c r="X46" s="14"/>
      <c r="Y46" s="14"/>
      <c r="Z46" s="14"/>
      <c r="AA46" s="15"/>
    </row>
    <row r="47" spans="1:27" x14ac:dyDescent="0.25">
      <c r="A47" t="s">
        <v>50</v>
      </c>
      <c r="B47">
        <v>171</v>
      </c>
      <c r="C47">
        <v>360</v>
      </c>
      <c r="D47">
        <v>189</v>
      </c>
      <c r="E47" s="1">
        <v>0.53</v>
      </c>
      <c r="F47" s="3">
        <v>2</v>
      </c>
      <c r="G47">
        <v>5</v>
      </c>
      <c r="H47" t="s">
        <v>10</v>
      </c>
      <c r="I47" t="s">
        <v>14</v>
      </c>
      <c r="M47">
        <v>6</v>
      </c>
      <c r="N47" s="17" t="s">
        <v>54</v>
      </c>
      <c r="O47" s="17"/>
      <c r="P47" s="17"/>
      <c r="Q47" s="17"/>
      <c r="R47" s="17"/>
      <c r="T47" s="13" t="s">
        <v>51</v>
      </c>
      <c r="U47" s="14"/>
      <c r="V47" s="14"/>
      <c r="W47" s="14"/>
      <c r="X47" s="14"/>
      <c r="Y47" s="14"/>
      <c r="Z47" s="14"/>
      <c r="AA47" s="15"/>
    </row>
    <row r="48" spans="1:27" x14ac:dyDescent="0.25">
      <c r="A48" t="s">
        <v>28</v>
      </c>
      <c r="B48">
        <v>332</v>
      </c>
      <c r="C48">
        <v>684</v>
      </c>
      <c r="D48">
        <v>352</v>
      </c>
      <c r="E48" s="1">
        <v>0.51</v>
      </c>
      <c r="F48" s="3">
        <v>2</v>
      </c>
      <c r="G48">
        <v>5</v>
      </c>
      <c r="H48" t="s">
        <v>10</v>
      </c>
      <c r="I48" t="s">
        <v>14</v>
      </c>
      <c r="M48">
        <v>7</v>
      </c>
      <c r="N48" s="17" t="s">
        <v>46</v>
      </c>
      <c r="O48" s="17"/>
      <c r="P48" s="17"/>
      <c r="Q48" s="17"/>
      <c r="R48" s="17"/>
      <c r="T48" s="13" t="s">
        <v>48</v>
      </c>
      <c r="U48" s="14"/>
      <c r="V48" s="14"/>
      <c r="W48" s="14"/>
      <c r="X48" s="14"/>
      <c r="Y48" s="14"/>
      <c r="Z48" s="14"/>
      <c r="AA48" s="15"/>
    </row>
    <row r="49" spans="1:27" x14ac:dyDescent="0.25">
      <c r="A49" t="s">
        <v>29</v>
      </c>
      <c r="B49">
        <v>195</v>
      </c>
      <c r="C49">
        <v>360</v>
      </c>
      <c r="D49">
        <v>165</v>
      </c>
      <c r="E49" s="1">
        <v>0.46</v>
      </c>
      <c r="F49" s="3">
        <v>2</v>
      </c>
      <c r="G49">
        <v>5</v>
      </c>
      <c r="H49" t="s">
        <v>10</v>
      </c>
      <c r="I49" t="s">
        <v>14</v>
      </c>
      <c r="M49">
        <v>8</v>
      </c>
      <c r="N49" s="17" t="s">
        <v>21</v>
      </c>
      <c r="O49" s="17"/>
      <c r="P49" s="17"/>
      <c r="Q49" s="17"/>
      <c r="R49" s="17"/>
      <c r="T49" s="13" t="s">
        <v>15</v>
      </c>
      <c r="U49" s="14"/>
      <c r="V49" s="14"/>
      <c r="W49" s="14"/>
      <c r="X49" s="14"/>
      <c r="Y49" s="14"/>
      <c r="Z49" s="14"/>
      <c r="AA49" s="15"/>
    </row>
    <row r="50" spans="1:27" x14ac:dyDescent="0.25">
      <c r="A50" t="s">
        <v>52</v>
      </c>
      <c r="B50">
        <v>1980</v>
      </c>
      <c r="C50">
        <v>3200</v>
      </c>
      <c r="D50">
        <v>1220</v>
      </c>
      <c r="E50" s="1">
        <v>0.38</v>
      </c>
      <c r="F50" s="3">
        <v>2</v>
      </c>
      <c r="G50">
        <v>4.5</v>
      </c>
      <c r="H50" t="s">
        <v>10</v>
      </c>
      <c r="I50" t="s">
        <v>11</v>
      </c>
      <c r="M50">
        <v>9</v>
      </c>
      <c r="N50" s="17" t="s">
        <v>88</v>
      </c>
      <c r="O50" s="17"/>
      <c r="P50" s="17"/>
      <c r="Q50" s="17"/>
      <c r="R50" s="17"/>
      <c r="T50" s="13" t="s">
        <v>42</v>
      </c>
      <c r="U50" s="14"/>
      <c r="V50" s="14"/>
      <c r="W50" s="14"/>
      <c r="X50" s="14"/>
      <c r="Y50" s="14"/>
      <c r="Z50" s="14"/>
      <c r="AA50" s="15"/>
    </row>
    <row r="51" spans="1:27" x14ac:dyDescent="0.25">
      <c r="A51" t="s">
        <v>9</v>
      </c>
      <c r="B51">
        <v>950</v>
      </c>
      <c r="C51">
        <v>1525</v>
      </c>
      <c r="D51">
        <v>575</v>
      </c>
      <c r="E51" s="1">
        <v>0.38</v>
      </c>
      <c r="F51" s="3">
        <v>2</v>
      </c>
      <c r="G51">
        <v>4.5</v>
      </c>
      <c r="H51" t="s">
        <v>10</v>
      </c>
      <c r="I51" t="s">
        <v>11</v>
      </c>
      <c r="M51">
        <v>10</v>
      </c>
      <c r="N51" s="17" t="s">
        <v>34</v>
      </c>
      <c r="O51" s="17"/>
      <c r="P51" s="17"/>
      <c r="Q51" s="17"/>
      <c r="R51" s="17"/>
      <c r="T51" s="13" t="s">
        <v>47</v>
      </c>
      <c r="U51" s="14"/>
      <c r="V51" s="14"/>
      <c r="W51" s="14"/>
      <c r="X51" s="14"/>
      <c r="Y51" s="14"/>
      <c r="Z51" s="14"/>
      <c r="AA51" s="15"/>
    </row>
    <row r="52" spans="1:27" x14ac:dyDescent="0.25">
      <c r="A52" t="s">
        <v>20</v>
      </c>
      <c r="B52">
        <v>988</v>
      </c>
      <c r="C52">
        <v>1580</v>
      </c>
      <c r="D52">
        <v>592</v>
      </c>
      <c r="E52" s="1">
        <v>0.37</v>
      </c>
      <c r="F52" s="3">
        <v>2</v>
      </c>
      <c r="G52">
        <v>4</v>
      </c>
      <c r="H52" t="s">
        <v>13</v>
      </c>
      <c r="I52" t="s">
        <v>11</v>
      </c>
    </row>
    <row r="53" spans="1:27" x14ac:dyDescent="0.25">
      <c r="A53" t="s">
        <v>53</v>
      </c>
      <c r="B53">
        <v>1620</v>
      </c>
      <c r="C53">
        <v>2200</v>
      </c>
      <c r="D53">
        <v>580</v>
      </c>
      <c r="E53" s="1">
        <v>0.26</v>
      </c>
      <c r="F53" s="3">
        <v>2</v>
      </c>
      <c r="G53">
        <v>4.5</v>
      </c>
      <c r="H53" t="s">
        <v>10</v>
      </c>
      <c r="I53" t="s">
        <v>11</v>
      </c>
    </row>
    <row r="54" spans="1:27" x14ac:dyDescent="0.25">
      <c r="A54" t="s">
        <v>123</v>
      </c>
      <c r="B54">
        <v>450</v>
      </c>
      <c r="C54">
        <v>900</v>
      </c>
      <c r="D54">
        <v>450</v>
      </c>
      <c r="E54" s="1">
        <v>0.5</v>
      </c>
      <c r="F54" s="3">
        <v>1</v>
      </c>
      <c r="G54">
        <v>2</v>
      </c>
      <c r="H54" t="s">
        <v>74</v>
      </c>
      <c r="I54" t="s">
        <v>14</v>
      </c>
      <c r="N54" s="16" t="s">
        <v>141</v>
      </c>
      <c r="O54" s="16"/>
      <c r="P54" s="16"/>
      <c r="Q54" s="16"/>
      <c r="R54" s="16"/>
      <c r="S54" s="16"/>
      <c r="T54" s="16"/>
      <c r="U54" s="16"/>
      <c r="V54" s="16"/>
      <c r="W54" s="16"/>
      <c r="X54" s="16"/>
      <c r="Y54" s="16"/>
      <c r="Z54" s="16"/>
      <c r="AA54" s="16"/>
    </row>
    <row r="55" spans="1:27" x14ac:dyDescent="0.25">
      <c r="A55" t="s">
        <v>94</v>
      </c>
      <c r="B55">
        <v>979</v>
      </c>
      <c r="C55">
        <v>1920</v>
      </c>
      <c r="D55">
        <v>941</v>
      </c>
      <c r="E55" s="1">
        <v>0.49</v>
      </c>
      <c r="F55" s="3">
        <v>1</v>
      </c>
      <c r="G55">
        <v>5</v>
      </c>
      <c r="H55" t="s">
        <v>10</v>
      </c>
      <c r="I55" t="s">
        <v>14</v>
      </c>
      <c r="N55" s="10" t="s">
        <v>8</v>
      </c>
      <c r="O55" t="s">
        <v>149</v>
      </c>
      <c r="P55" t="s">
        <v>150</v>
      </c>
      <c r="Q55" s="9"/>
      <c r="R55" s="8"/>
      <c r="T55" s="10" t="s">
        <v>151</v>
      </c>
      <c r="U55" t="s">
        <v>148</v>
      </c>
    </row>
    <row r="56" spans="1:27" x14ac:dyDescent="0.25">
      <c r="A56" t="s">
        <v>97</v>
      </c>
      <c r="B56">
        <v>330</v>
      </c>
      <c r="C56">
        <v>647</v>
      </c>
      <c r="D56">
        <v>317</v>
      </c>
      <c r="E56" s="1">
        <v>0.49</v>
      </c>
      <c r="F56" s="3">
        <v>1</v>
      </c>
      <c r="G56">
        <v>4</v>
      </c>
      <c r="H56" t="s">
        <v>13</v>
      </c>
      <c r="I56" t="s">
        <v>14</v>
      </c>
      <c r="N56" s="11" t="s">
        <v>14</v>
      </c>
      <c r="O56" s="2">
        <v>3.6133333333333328</v>
      </c>
      <c r="P56" s="2">
        <v>11.133333333333333</v>
      </c>
      <c r="T56" s="11" t="s">
        <v>13</v>
      </c>
      <c r="U56" s="25">
        <v>22</v>
      </c>
    </row>
    <row r="57" spans="1:27" x14ac:dyDescent="0.25">
      <c r="A57" t="s">
        <v>93</v>
      </c>
      <c r="B57">
        <v>1189</v>
      </c>
      <c r="C57">
        <v>2199</v>
      </c>
      <c r="D57">
        <v>1010</v>
      </c>
      <c r="E57" s="1">
        <v>0.46</v>
      </c>
      <c r="F57" s="3">
        <v>1</v>
      </c>
      <c r="G57">
        <v>3</v>
      </c>
      <c r="H57" t="s">
        <v>13</v>
      </c>
      <c r="I57" t="s">
        <v>14</v>
      </c>
      <c r="N57" s="11" t="s">
        <v>11</v>
      </c>
      <c r="O57" s="2">
        <v>4.2875000000000005</v>
      </c>
      <c r="P57" s="2">
        <v>14.708333333333334</v>
      </c>
      <c r="T57" s="11" t="s">
        <v>10</v>
      </c>
      <c r="U57" s="25">
        <v>24</v>
      </c>
    </row>
    <row r="58" spans="1:27" x14ac:dyDescent="0.25">
      <c r="A58" t="s">
        <v>49</v>
      </c>
      <c r="B58">
        <v>1620</v>
      </c>
      <c r="C58">
        <v>2690</v>
      </c>
      <c r="D58">
        <v>1070</v>
      </c>
      <c r="E58" s="1">
        <v>0.4</v>
      </c>
      <c r="F58" s="3">
        <v>1</v>
      </c>
      <c r="G58">
        <v>5</v>
      </c>
      <c r="H58" t="s">
        <v>10</v>
      </c>
      <c r="I58" t="s">
        <v>11</v>
      </c>
      <c r="N58" s="11" t="s">
        <v>143</v>
      </c>
      <c r="O58" s="2">
        <v>3.7250000000000001</v>
      </c>
      <c r="P58" s="2">
        <v>9.5</v>
      </c>
      <c r="T58" s="11" t="s">
        <v>35</v>
      </c>
      <c r="U58" s="25">
        <v>55</v>
      </c>
    </row>
    <row r="59" spans="1:27" x14ac:dyDescent="0.25">
      <c r="A59" t="s">
        <v>114</v>
      </c>
      <c r="B59">
        <v>3640</v>
      </c>
      <c r="C59">
        <v>4588</v>
      </c>
      <c r="D59">
        <v>948</v>
      </c>
      <c r="E59" s="1">
        <v>0.21</v>
      </c>
      <c r="F59" s="3">
        <v>1</v>
      </c>
      <c r="G59">
        <v>5</v>
      </c>
      <c r="H59" t="s">
        <v>10</v>
      </c>
      <c r="I59" t="s">
        <v>11</v>
      </c>
      <c r="N59" s="11" t="s">
        <v>142</v>
      </c>
      <c r="O59" s="25">
        <v>3.8999999999999995</v>
      </c>
      <c r="P59" s="25">
        <v>12.5</v>
      </c>
      <c r="T59" s="11" t="s">
        <v>74</v>
      </c>
      <c r="U59" s="25">
        <v>12</v>
      </c>
    </row>
    <row r="60" spans="1:27" x14ac:dyDescent="0.25">
      <c r="A60" t="s">
        <v>122</v>
      </c>
      <c r="B60">
        <v>199</v>
      </c>
      <c r="C60">
        <v>553</v>
      </c>
      <c r="D60">
        <v>354</v>
      </c>
      <c r="E60" s="1">
        <v>0.64</v>
      </c>
      <c r="F60" s="3"/>
      <c r="H60" t="s">
        <v>35</v>
      </c>
      <c r="I60" t="s">
        <v>14</v>
      </c>
      <c r="T60" s="11" t="s">
        <v>142</v>
      </c>
      <c r="U60" s="25">
        <v>113</v>
      </c>
    </row>
    <row r="61" spans="1:27" x14ac:dyDescent="0.25">
      <c r="A61" t="s">
        <v>63</v>
      </c>
      <c r="B61">
        <v>199</v>
      </c>
      <c r="C61">
        <v>504</v>
      </c>
      <c r="D61">
        <v>305</v>
      </c>
      <c r="E61" s="1">
        <v>0.61</v>
      </c>
      <c r="F61" s="3"/>
      <c r="H61" t="s">
        <v>35</v>
      </c>
      <c r="I61" t="s">
        <v>14</v>
      </c>
    </row>
    <row r="62" spans="1:27" x14ac:dyDescent="0.25">
      <c r="A62" t="s">
        <v>69</v>
      </c>
      <c r="B62">
        <v>399</v>
      </c>
      <c r="C62">
        <v>896</v>
      </c>
      <c r="D62">
        <v>497</v>
      </c>
      <c r="E62" s="1">
        <v>0.55000000000000004</v>
      </c>
      <c r="F62" s="3"/>
      <c r="H62" t="s">
        <v>35</v>
      </c>
      <c r="I62" t="s">
        <v>14</v>
      </c>
    </row>
    <row r="63" spans="1:27" x14ac:dyDescent="0.25">
      <c r="A63" t="s">
        <v>107</v>
      </c>
      <c r="B63">
        <v>1200</v>
      </c>
      <c r="C63">
        <v>2400</v>
      </c>
      <c r="D63">
        <v>1200</v>
      </c>
      <c r="E63" s="1">
        <v>0.5</v>
      </c>
      <c r="F63" s="3"/>
      <c r="H63" t="s">
        <v>35</v>
      </c>
      <c r="I63" t="s">
        <v>14</v>
      </c>
    </row>
    <row r="64" spans="1:27" x14ac:dyDescent="0.25">
      <c r="A64" t="s">
        <v>59</v>
      </c>
      <c r="B64">
        <v>999</v>
      </c>
      <c r="C64">
        <v>2000</v>
      </c>
      <c r="D64">
        <v>1001</v>
      </c>
      <c r="E64" s="1">
        <v>0.5</v>
      </c>
      <c r="F64" s="3"/>
      <c r="H64" t="s">
        <v>35</v>
      </c>
      <c r="I64" t="s">
        <v>14</v>
      </c>
    </row>
    <row r="65" spans="1:9" x14ac:dyDescent="0.25">
      <c r="A65" t="s">
        <v>103</v>
      </c>
      <c r="B65">
        <v>850</v>
      </c>
      <c r="C65">
        <v>1700</v>
      </c>
      <c r="D65">
        <v>850</v>
      </c>
      <c r="E65" s="1">
        <v>0.5</v>
      </c>
      <c r="F65" s="3"/>
      <c r="H65" t="s">
        <v>35</v>
      </c>
      <c r="I65" t="s">
        <v>14</v>
      </c>
    </row>
    <row r="66" spans="1:9" x14ac:dyDescent="0.25">
      <c r="A66" t="s">
        <v>64</v>
      </c>
      <c r="B66">
        <v>299</v>
      </c>
      <c r="C66">
        <v>600</v>
      </c>
      <c r="D66">
        <v>301</v>
      </c>
      <c r="E66" s="1">
        <v>0.5</v>
      </c>
      <c r="F66" s="3"/>
      <c r="H66" t="s">
        <v>35</v>
      </c>
      <c r="I66" t="s">
        <v>14</v>
      </c>
    </row>
    <row r="67" spans="1:9" x14ac:dyDescent="0.25">
      <c r="A67" t="s">
        <v>56</v>
      </c>
      <c r="B67">
        <v>238</v>
      </c>
      <c r="C67">
        <v>476</v>
      </c>
      <c r="D67">
        <v>238</v>
      </c>
      <c r="E67" s="1">
        <v>0.5</v>
      </c>
      <c r="F67" s="3"/>
      <c r="H67" t="s">
        <v>35</v>
      </c>
      <c r="I67" t="s">
        <v>14</v>
      </c>
    </row>
    <row r="68" spans="1:9" x14ac:dyDescent="0.25">
      <c r="A68" t="s">
        <v>71</v>
      </c>
      <c r="B68">
        <v>799</v>
      </c>
      <c r="C68">
        <v>1567</v>
      </c>
      <c r="D68">
        <v>768</v>
      </c>
      <c r="E68" s="1">
        <v>0.49</v>
      </c>
      <c r="F68" s="3"/>
      <c r="H68" t="s">
        <v>35</v>
      </c>
      <c r="I68" t="s">
        <v>14</v>
      </c>
    </row>
    <row r="69" spans="1:9" x14ac:dyDescent="0.25">
      <c r="A69" t="s">
        <v>61</v>
      </c>
      <c r="B69">
        <v>671</v>
      </c>
      <c r="C69">
        <v>1316</v>
      </c>
      <c r="D69">
        <v>645</v>
      </c>
      <c r="E69" s="1">
        <v>0.49</v>
      </c>
      <c r="F69" s="3"/>
      <c r="H69" t="s">
        <v>35</v>
      </c>
      <c r="I69" t="s">
        <v>14</v>
      </c>
    </row>
    <row r="70" spans="1:9" x14ac:dyDescent="0.25">
      <c r="A70" t="s">
        <v>71</v>
      </c>
      <c r="B70">
        <v>657</v>
      </c>
      <c r="C70">
        <v>1288</v>
      </c>
      <c r="D70">
        <v>631</v>
      </c>
      <c r="E70" s="1">
        <v>0.49</v>
      </c>
      <c r="F70" s="3"/>
      <c r="H70" t="s">
        <v>35</v>
      </c>
      <c r="I70" t="s">
        <v>14</v>
      </c>
    </row>
    <row r="71" spans="1:9" x14ac:dyDescent="0.25">
      <c r="A71" t="s">
        <v>112</v>
      </c>
      <c r="B71">
        <v>525</v>
      </c>
      <c r="C71">
        <v>1029</v>
      </c>
      <c r="D71">
        <v>504</v>
      </c>
      <c r="E71" s="1">
        <v>0.49</v>
      </c>
      <c r="F71" s="3"/>
      <c r="H71" t="s">
        <v>35</v>
      </c>
      <c r="I71" t="s">
        <v>14</v>
      </c>
    </row>
    <row r="72" spans="1:9" x14ac:dyDescent="0.25">
      <c r="A72" t="s">
        <v>55</v>
      </c>
      <c r="B72">
        <v>475</v>
      </c>
      <c r="C72">
        <v>931</v>
      </c>
      <c r="D72">
        <v>456</v>
      </c>
      <c r="E72" s="1">
        <v>0.49</v>
      </c>
      <c r="F72" s="3"/>
      <c r="H72" t="s">
        <v>35</v>
      </c>
      <c r="I72" t="s">
        <v>14</v>
      </c>
    </row>
    <row r="73" spans="1:9" x14ac:dyDescent="0.25">
      <c r="A73" t="s">
        <v>99</v>
      </c>
      <c r="B73">
        <v>274</v>
      </c>
      <c r="C73">
        <v>537</v>
      </c>
      <c r="D73">
        <v>263</v>
      </c>
      <c r="E73" s="1">
        <v>0.49</v>
      </c>
      <c r="F73" s="3"/>
      <c r="H73" t="s">
        <v>35</v>
      </c>
      <c r="I73" t="s">
        <v>14</v>
      </c>
    </row>
    <row r="74" spans="1:9" x14ac:dyDescent="0.25">
      <c r="A74" t="s">
        <v>110</v>
      </c>
      <c r="B74">
        <v>248</v>
      </c>
      <c r="C74">
        <v>486</v>
      </c>
      <c r="D74">
        <v>238</v>
      </c>
      <c r="E74" s="1">
        <v>0.49</v>
      </c>
      <c r="F74" s="3"/>
      <c r="H74" t="s">
        <v>35</v>
      </c>
      <c r="I74" t="s">
        <v>14</v>
      </c>
    </row>
    <row r="75" spans="1:9" x14ac:dyDescent="0.25">
      <c r="A75" t="s">
        <v>92</v>
      </c>
      <c r="B75">
        <v>230</v>
      </c>
      <c r="C75">
        <v>450</v>
      </c>
      <c r="D75">
        <v>220</v>
      </c>
      <c r="E75" s="1">
        <v>0.49</v>
      </c>
      <c r="F75" s="3"/>
      <c r="H75" t="s">
        <v>35</v>
      </c>
      <c r="I75" t="s">
        <v>14</v>
      </c>
    </row>
    <row r="76" spans="1:9" x14ac:dyDescent="0.25">
      <c r="A76" t="s">
        <v>63</v>
      </c>
      <c r="B76">
        <v>176</v>
      </c>
      <c r="C76">
        <v>345</v>
      </c>
      <c r="D76">
        <v>169</v>
      </c>
      <c r="E76" s="1">
        <v>0.49</v>
      </c>
      <c r="F76" s="3"/>
      <c r="H76" t="s">
        <v>35</v>
      </c>
      <c r="I76" t="s">
        <v>14</v>
      </c>
    </row>
    <row r="77" spans="1:9" x14ac:dyDescent="0.25">
      <c r="A77" t="s">
        <v>104</v>
      </c>
      <c r="B77">
        <v>1300</v>
      </c>
      <c r="C77">
        <v>2500</v>
      </c>
      <c r="D77">
        <v>1200</v>
      </c>
      <c r="E77" s="1">
        <v>0.48</v>
      </c>
      <c r="F77" s="3"/>
      <c r="H77" t="s">
        <v>35</v>
      </c>
      <c r="I77" t="s">
        <v>14</v>
      </c>
    </row>
    <row r="78" spans="1:9" x14ac:dyDescent="0.25">
      <c r="A78" t="s">
        <v>70</v>
      </c>
      <c r="B78">
        <v>699</v>
      </c>
      <c r="C78">
        <v>1343</v>
      </c>
      <c r="D78">
        <v>644</v>
      </c>
      <c r="E78" s="1">
        <v>0.48</v>
      </c>
      <c r="F78" s="3"/>
      <c r="H78" t="s">
        <v>35</v>
      </c>
      <c r="I78" t="s">
        <v>14</v>
      </c>
    </row>
    <row r="79" spans="1:9" x14ac:dyDescent="0.25">
      <c r="A79" t="s">
        <v>105</v>
      </c>
      <c r="B79">
        <v>105</v>
      </c>
      <c r="C79">
        <v>200</v>
      </c>
      <c r="D79">
        <v>95</v>
      </c>
      <c r="E79" s="1">
        <v>0.48</v>
      </c>
      <c r="F79" s="3"/>
      <c r="H79" t="s">
        <v>35</v>
      </c>
      <c r="I79" t="s">
        <v>14</v>
      </c>
    </row>
    <row r="80" spans="1:9" x14ac:dyDescent="0.25">
      <c r="A80" t="s">
        <v>106</v>
      </c>
      <c r="B80">
        <v>899</v>
      </c>
      <c r="C80">
        <v>1699</v>
      </c>
      <c r="D80">
        <v>800</v>
      </c>
      <c r="E80" s="1">
        <v>0.47</v>
      </c>
      <c r="F80" s="3"/>
      <c r="H80" t="s">
        <v>35</v>
      </c>
      <c r="I80" t="s">
        <v>14</v>
      </c>
    </row>
    <row r="81" spans="1:9" x14ac:dyDescent="0.25">
      <c r="A81" t="s">
        <v>89</v>
      </c>
      <c r="B81">
        <v>790</v>
      </c>
      <c r="C81">
        <v>1485</v>
      </c>
      <c r="D81">
        <v>695</v>
      </c>
      <c r="E81" s="1">
        <v>0.47</v>
      </c>
      <c r="F81" s="3"/>
      <c r="H81" t="s">
        <v>35</v>
      </c>
      <c r="I81" t="s">
        <v>14</v>
      </c>
    </row>
    <row r="82" spans="1:9" x14ac:dyDescent="0.25">
      <c r="A82" t="s">
        <v>124</v>
      </c>
      <c r="B82">
        <v>169</v>
      </c>
      <c r="C82">
        <v>320</v>
      </c>
      <c r="D82">
        <v>151</v>
      </c>
      <c r="E82" s="1">
        <v>0.47</v>
      </c>
      <c r="F82" s="3"/>
      <c r="H82" t="s">
        <v>35</v>
      </c>
      <c r="I82" t="s">
        <v>14</v>
      </c>
    </row>
    <row r="83" spans="1:9" x14ac:dyDescent="0.25">
      <c r="A83" t="s">
        <v>43</v>
      </c>
      <c r="B83">
        <v>2200</v>
      </c>
      <c r="C83">
        <v>4080</v>
      </c>
      <c r="D83">
        <v>1880</v>
      </c>
      <c r="E83" s="1">
        <v>0.46</v>
      </c>
      <c r="F83" s="3"/>
      <c r="H83" t="s">
        <v>35</v>
      </c>
      <c r="I83" t="s">
        <v>14</v>
      </c>
    </row>
    <row r="84" spans="1:9" x14ac:dyDescent="0.25">
      <c r="A84" t="s">
        <v>69</v>
      </c>
      <c r="B84">
        <v>499</v>
      </c>
      <c r="C84">
        <v>900</v>
      </c>
      <c r="D84">
        <v>401</v>
      </c>
      <c r="E84" s="1">
        <v>0.45</v>
      </c>
      <c r="F84" s="3"/>
      <c r="H84" t="s">
        <v>35</v>
      </c>
      <c r="I84" t="s">
        <v>14</v>
      </c>
    </row>
    <row r="85" spans="1:9" x14ac:dyDescent="0.25">
      <c r="A85" t="s">
        <v>90</v>
      </c>
      <c r="B85">
        <v>690</v>
      </c>
      <c r="C85">
        <v>1200</v>
      </c>
      <c r="D85">
        <v>510</v>
      </c>
      <c r="E85" s="1">
        <v>0.43</v>
      </c>
      <c r="F85" s="3"/>
      <c r="H85" t="s">
        <v>35</v>
      </c>
      <c r="I85" t="s">
        <v>14</v>
      </c>
    </row>
    <row r="86" spans="1:9" x14ac:dyDescent="0.25">
      <c r="A86" t="s">
        <v>102</v>
      </c>
      <c r="B86">
        <v>630</v>
      </c>
      <c r="C86">
        <v>1100</v>
      </c>
      <c r="D86">
        <v>470</v>
      </c>
      <c r="E86" s="1">
        <v>0.43</v>
      </c>
      <c r="F86" s="3"/>
      <c r="H86" t="s">
        <v>35</v>
      </c>
      <c r="I86" t="s">
        <v>14</v>
      </c>
    </row>
    <row r="87" spans="1:9" x14ac:dyDescent="0.25">
      <c r="A87" t="s">
        <v>34</v>
      </c>
      <c r="B87">
        <v>1860</v>
      </c>
      <c r="C87">
        <v>3220</v>
      </c>
      <c r="D87">
        <v>1360</v>
      </c>
      <c r="E87" s="1">
        <v>0.42</v>
      </c>
      <c r="F87" s="3"/>
      <c r="H87" t="s">
        <v>35</v>
      </c>
      <c r="I87" t="s">
        <v>14</v>
      </c>
    </row>
    <row r="88" spans="1:9" x14ac:dyDescent="0.25">
      <c r="A88" t="s">
        <v>113</v>
      </c>
      <c r="B88">
        <v>1080</v>
      </c>
      <c r="C88">
        <v>1874</v>
      </c>
      <c r="D88">
        <v>794</v>
      </c>
      <c r="E88" s="1">
        <v>0.42</v>
      </c>
      <c r="F88" s="3"/>
      <c r="H88" t="s">
        <v>35</v>
      </c>
      <c r="I88" t="s">
        <v>14</v>
      </c>
    </row>
    <row r="89" spans="1:9" x14ac:dyDescent="0.25">
      <c r="A89" t="s">
        <v>57</v>
      </c>
      <c r="B89">
        <v>610</v>
      </c>
      <c r="C89">
        <v>1060</v>
      </c>
      <c r="D89">
        <v>450</v>
      </c>
      <c r="E89" s="1">
        <v>0.42</v>
      </c>
      <c r="F89" s="3"/>
      <c r="H89" t="s">
        <v>35</v>
      </c>
      <c r="I89" t="s">
        <v>14</v>
      </c>
    </row>
    <row r="90" spans="1:9" x14ac:dyDescent="0.25">
      <c r="A90" t="s">
        <v>115</v>
      </c>
      <c r="B90">
        <v>1420</v>
      </c>
      <c r="C90">
        <v>2420</v>
      </c>
      <c r="D90">
        <v>1000</v>
      </c>
      <c r="E90" s="1">
        <v>0.41</v>
      </c>
      <c r="F90" s="3"/>
      <c r="H90" t="s">
        <v>35</v>
      </c>
      <c r="I90" t="s">
        <v>14</v>
      </c>
    </row>
    <row r="91" spans="1:9" x14ac:dyDescent="0.25">
      <c r="A91" t="s">
        <v>68</v>
      </c>
      <c r="B91">
        <v>799</v>
      </c>
      <c r="C91">
        <v>1343</v>
      </c>
      <c r="D91">
        <v>544</v>
      </c>
      <c r="E91" s="1">
        <v>0.41</v>
      </c>
      <c r="F91" s="3"/>
      <c r="H91" t="s">
        <v>35</v>
      </c>
      <c r="I91" t="s">
        <v>14</v>
      </c>
    </row>
    <row r="92" spans="1:9" x14ac:dyDescent="0.25">
      <c r="A92" t="s">
        <v>54</v>
      </c>
      <c r="B92">
        <v>2750</v>
      </c>
      <c r="C92">
        <v>4471</v>
      </c>
      <c r="D92">
        <v>1721</v>
      </c>
      <c r="E92" s="1">
        <v>0.38</v>
      </c>
      <c r="F92" s="3"/>
      <c r="H92" t="s">
        <v>35</v>
      </c>
      <c r="I92" t="s">
        <v>11</v>
      </c>
    </row>
    <row r="93" spans="1:9" x14ac:dyDescent="0.25">
      <c r="A93" t="s">
        <v>62</v>
      </c>
      <c r="B93">
        <v>1200</v>
      </c>
      <c r="C93">
        <v>1950</v>
      </c>
      <c r="D93">
        <v>750</v>
      </c>
      <c r="E93" s="1">
        <v>0.38</v>
      </c>
      <c r="F93" s="3"/>
      <c r="H93" t="s">
        <v>35</v>
      </c>
      <c r="I93" t="s">
        <v>11</v>
      </c>
    </row>
    <row r="94" spans="1:9" x14ac:dyDescent="0.25">
      <c r="A94" t="s">
        <v>95</v>
      </c>
      <c r="B94">
        <v>1460</v>
      </c>
      <c r="C94">
        <v>2290</v>
      </c>
      <c r="D94">
        <v>830</v>
      </c>
      <c r="E94" s="1">
        <v>0.36</v>
      </c>
      <c r="F94" s="3"/>
      <c r="H94" t="s">
        <v>35</v>
      </c>
      <c r="I94" t="s">
        <v>11</v>
      </c>
    </row>
    <row r="95" spans="1:9" x14ac:dyDescent="0.25">
      <c r="A95" t="s">
        <v>119</v>
      </c>
      <c r="B95">
        <v>1190</v>
      </c>
      <c r="C95">
        <v>1810</v>
      </c>
      <c r="D95">
        <v>620</v>
      </c>
      <c r="E95" s="1">
        <v>0.34</v>
      </c>
      <c r="F95" s="3"/>
      <c r="H95" t="s">
        <v>35</v>
      </c>
      <c r="I95" t="s">
        <v>11</v>
      </c>
    </row>
    <row r="96" spans="1:9" x14ac:dyDescent="0.25">
      <c r="A96" t="s">
        <v>118</v>
      </c>
      <c r="B96">
        <v>1150</v>
      </c>
      <c r="C96">
        <v>1737</v>
      </c>
      <c r="D96">
        <v>587</v>
      </c>
      <c r="E96" s="1">
        <v>0.34</v>
      </c>
      <c r="F96" s="3"/>
      <c r="H96" t="s">
        <v>35</v>
      </c>
      <c r="I96" t="s">
        <v>11</v>
      </c>
    </row>
    <row r="97" spans="1:9" x14ac:dyDescent="0.25">
      <c r="A97" t="s">
        <v>60</v>
      </c>
      <c r="B97">
        <v>1190</v>
      </c>
      <c r="C97">
        <v>1785</v>
      </c>
      <c r="D97">
        <v>595</v>
      </c>
      <c r="E97" s="1">
        <v>0.33</v>
      </c>
      <c r="F97" s="3"/>
      <c r="H97" t="s">
        <v>35</v>
      </c>
      <c r="I97" t="s">
        <v>11</v>
      </c>
    </row>
    <row r="98" spans="1:9" x14ac:dyDescent="0.25">
      <c r="A98" t="s">
        <v>72</v>
      </c>
      <c r="B98">
        <v>2799</v>
      </c>
      <c r="C98">
        <v>3810</v>
      </c>
      <c r="D98">
        <v>1011</v>
      </c>
      <c r="E98" s="1">
        <v>0.27</v>
      </c>
      <c r="F98" s="3"/>
      <c r="H98" t="s">
        <v>35</v>
      </c>
      <c r="I98" t="s">
        <v>11</v>
      </c>
    </row>
    <row r="99" spans="1:9" x14ac:dyDescent="0.25">
      <c r="A99" t="s">
        <v>117</v>
      </c>
      <c r="B99">
        <v>198</v>
      </c>
      <c r="C99">
        <v>260</v>
      </c>
      <c r="D99">
        <v>62</v>
      </c>
      <c r="E99" s="1">
        <v>0.24</v>
      </c>
      <c r="F99" s="3"/>
      <c r="H99" t="s">
        <v>35</v>
      </c>
      <c r="I99" t="s">
        <v>11</v>
      </c>
    </row>
    <row r="100" spans="1:9" x14ac:dyDescent="0.25">
      <c r="A100" t="s">
        <v>66</v>
      </c>
      <c r="B100">
        <v>299</v>
      </c>
      <c r="C100">
        <v>384</v>
      </c>
      <c r="D100">
        <v>85</v>
      </c>
      <c r="E100" s="1">
        <v>0.22</v>
      </c>
      <c r="F100" s="3"/>
      <c r="H100" t="s">
        <v>35</v>
      </c>
      <c r="I100" t="s">
        <v>11</v>
      </c>
    </row>
    <row r="101" spans="1:9" x14ac:dyDescent="0.25">
      <c r="A101" t="s">
        <v>98</v>
      </c>
      <c r="B101">
        <v>1466</v>
      </c>
      <c r="C101">
        <v>1699</v>
      </c>
      <c r="D101">
        <v>233</v>
      </c>
      <c r="E101" s="1">
        <v>0.14000000000000001</v>
      </c>
      <c r="F101" s="3"/>
      <c r="H101" t="s">
        <v>35</v>
      </c>
      <c r="I101" t="s">
        <v>143</v>
      </c>
    </row>
    <row r="102" spans="1:9" x14ac:dyDescent="0.25">
      <c r="A102" t="s">
        <v>101</v>
      </c>
      <c r="B102">
        <v>1468</v>
      </c>
      <c r="C102">
        <v>1699</v>
      </c>
      <c r="D102">
        <v>231</v>
      </c>
      <c r="E102" s="1">
        <v>0.14000000000000001</v>
      </c>
      <c r="F102" s="3"/>
      <c r="H102" t="s">
        <v>35</v>
      </c>
      <c r="I102" t="s">
        <v>143</v>
      </c>
    </row>
    <row r="103" spans="1:9" x14ac:dyDescent="0.25">
      <c r="A103" t="s">
        <v>100</v>
      </c>
      <c r="B103">
        <v>799</v>
      </c>
      <c r="C103">
        <v>900</v>
      </c>
      <c r="D103">
        <v>101</v>
      </c>
      <c r="E103" s="1">
        <v>0.11</v>
      </c>
      <c r="F103" s="3"/>
      <c r="H103" t="s">
        <v>35</v>
      </c>
      <c r="I103" t="s">
        <v>143</v>
      </c>
    </row>
    <row r="104" spans="1:9" x14ac:dyDescent="0.25">
      <c r="A104" t="s">
        <v>108</v>
      </c>
      <c r="B104">
        <v>1526</v>
      </c>
      <c r="C104">
        <v>1660</v>
      </c>
      <c r="D104">
        <v>134</v>
      </c>
      <c r="E104" s="1">
        <v>0.08</v>
      </c>
      <c r="F104" s="3"/>
      <c r="H104" t="s">
        <v>35</v>
      </c>
      <c r="I104" t="s">
        <v>143</v>
      </c>
    </row>
    <row r="105" spans="1:9" x14ac:dyDescent="0.25">
      <c r="A105" t="s">
        <v>111</v>
      </c>
      <c r="B105">
        <v>3546</v>
      </c>
      <c r="C105">
        <v>3699</v>
      </c>
      <c r="D105">
        <v>153</v>
      </c>
      <c r="E105" s="1">
        <v>0.04</v>
      </c>
      <c r="F105" s="3"/>
      <c r="H105" t="s">
        <v>35</v>
      </c>
      <c r="I105" t="s">
        <v>143</v>
      </c>
    </row>
    <row r="106" spans="1:9" x14ac:dyDescent="0.25">
      <c r="A106" t="s">
        <v>91</v>
      </c>
      <c r="B106">
        <v>1732</v>
      </c>
      <c r="C106">
        <v>1799</v>
      </c>
      <c r="D106">
        <v>67</v>
      </c>
      <c r="E106" s="1">
        <v>0.04</v>
      </c>
      <c r="F106" s="3"/>
      <c r="H106" t="s">
        <v>35</v>
      </c>
      <c r="I106" t="s">
        <v>143</v>
      </c>
    </row>
    <row r="107" spans="1:9" x14ac:dyDescent="0.25">
      <c r="A107" t="s">
        <v>67</v>
      </c>
      <c r="B107">
        <v>1459</v>
      </c>
      <c r="C107">
        <v>1499</v>
      </c>
      <c r="D107">
        <v>40</v>
      </c>
      <c r="E107" s="1">
        <v>0.03</v>
      </c>
      <c r="F107" s="3"/>
      <c r="H107" t="s">
        <v>35</v>
      </c>
      <c r="I107" t="s">
        <v>143</v>
      </c>
    </row>
    <row r="108" spans="1:9" x14ac:dyDescent="0.25">
      <c r="A108" t="s">
        <v>120</v>
      </c>
      <c r="B108">
        <v>1658</v>
      </c>
      <c r="C108">
        <v>1699</v>
      </c>
      <c r="D108">
        <v>41</v>
      </c>
      <c r="E108" s="1">
        <v>0.02</v>
      </c>
      <c r="F108" s="3"/>
      <c r="H108" t="s">
        <v>35</v>
      </c>
      <c r="I108" t="s">
        <v>143</v>
      </c>
    </row>
    <row r="109" spans="1:9" x14ac:dyDescent="0.25">
      <c r="A109" t="s">
        <v>65</v>
      </c>
      <c r="B109">
        <v>1660</v>
      </c>
      <c r="C109">
        <v>1699</v>
      </c>
      <c r="D109">
        <v>39</v>
      </c>
      <c r="E109" s="1">
        <v>0.02</v>
      </c>
      <c r="F109" s="3"/>
      <c r="H109" t="s">
        <v>35</v>
      </c>
      <c r="I109" t="s">
        <v>143</v>
      </c>
    </row>
    <row r="110" spans="1:9" x14ac:dyDescent="0.25">
      <c r="A110" t="s">
        <v>58</v>
      </c>
      <c r="B110">
        <v>2132</v>
      </c>
      <c r="C110">
        <v>2169</v>
      </c>
      <c r="D110">
        <v>37</v>
      </c>
      <c r="E110" s="1">
        <v>0.02</v>
      </c>
      <c r="F110" s="3"/>
      <c r="H110" t="s">
        <v>35</v>
      </c>
      <c r="I110" t="s">
        <v>143</v>
      </c>
    </row>
    <row r="111" spans="1:9" x14ac:dyDescent="0.25">
      <c r="A111" t="s">
        <v>109</v>
      </c>
      <c r="B111">
        <v>1462</v>
      </c>
      <c r="C111">
        <v>1499</v>
      </c>
      <c r="D111">
        <v>37</v>
      </c>
      <c r="E111" s="1">
        <v>0.02</v>
      </c>
      <c r="F111" s="3"/>
      <c r="H111" t="s">
        <v>35</v>
      </c>
      <c r="I111" t="s">
        <v>143</v>
      </c>
    </row>
    <row r="112" spans="1:9" x14ac:dyDescent="0.25">
      <c r="A112" t="s">
        <v>96</v>
      </c>
      <c r="B112">
        <v>1666</v>
      </c>
      <c r="C112">
        <v>1699</v>
      </c>
      <c r="D112">
        <v>33</v>
      </c>
      <c r="E112" s="1">
        <v>0.02</v>
      </c>
      <c r="F112" s="3"/>
      <c r="H112" t="s">
        <v>35</v>
      </c>
      <c r="I112" t="s">
        <v>143</v>
      </c>
    </row>
    <row r="113" spans="1:9" x14ac:dyDescent="0.25">
      <c r="A113" t="s">
        <v>121</v>
      </c>
      <c r="B113">
        <v>1768</v>
      </c>
      <c r="C113">
        <v>1799</v>
      </c>
      <c r="D113">
        <v>31</v>
      </c>
      <c r="E113" s="1">
        <v>0.02</v>
      </c>
      <c r="F113" s="3"/>
      <c r="H113" t="s">
        <v>35</v>
      </c>
      <c r="I113" t="s">
        <v>143</v>
      </c>
    </row>
    <row r="114" spans="1:9" x14ac:dyDescent="0.25">
      <c r="A114" t="s">
        <v>116</v>
      </c>
      <c r="B114">
        <v>1875</v>
      </c>
      <c r="C114">
        <v>1899</v>
      </c>
      <c r="D114">
        <v>24</v>
      </c>
      <c r="E114" s="1">
        <v>0.01</v>
      </c>
      <c r="F114" s="3"/>
      <c r="H114" t="s">
        <v>35</v>
      </c>
      <c r="I114" t="s">
        <v>143</v>
      </c>
    </row>
  </sheetData>
  <autoFilter ref="X1:X7" xr:uid="{89ADE633-8025-4181-8CBE-76DC7C6E3E73}">
    <filterColumn colId="0">
      <filters blank="1"/>
    </filterColumn>
  </autoFilter>
  <mergeCells count="37">
    <mergeCell ref="T38:AA38"/>
    <mergeCell ref="M1:V1"/>
    <mergeCell ref="M10:V10"/>
    <mergeCell ref="N35:R35"/>
    <mergeCell ref="N34:R34"/>
    <mergeCell ref="N48:R48"/>
    <mergeCell ref="N49:R49"/>
    <mergeCell ref="N50:R50"/>
    <mergeCell ref="T33:AA33"/>
    <mergeCell ref="N41:R41"/>
    <mergeCell ref="N42:R42"/>
    <mergeCell ref="N43:R43"/>
    <mergeCell ref="N44:R44"/>
    <mergeCell ref="N36:R36"/>
    <mergeCell ref="N37:R37"/>
    <mergeCell ref="N38:R38"/>
    <mergeCell ref="N33:R33"/>
    <mergeCell ref="T34:AA34"/>
    <mergeCell ref="T35:AA35"/>
    <mergeCell ref="T36:AA36"/>
    <mergeCell ref="T37:AA37"/>
    <mergeCell ref="T50:AA50"/>
    <mergeCell ref="T51:AA51"/>
    <mergeCell ref="N54:AA54"/>
    <mergeCell ref="N51:R51"/>
    <mergeCell ref="T41:AA41"/>
    <mergeCell ref="T42:AA42"/>
    <mergeCell ref="T43:AA43"/>
    <mergeCell ref="T44:AA44"/>
    <mergeCell ref="T45:AA45"/>
    <mergeCell ref="T46:AA46"/>
    <mergeCell ref="T47:AA47"/>
    <mergeCell ref="T48:AA48"/>
    <mergeCell ref="T49:AA49"/>
    <mergeCell ref="N45:R45"/>
    <mergeCell ref="N46:R46"/>
    <mergeCell ref="N47:R47"/>
  </mergeCells>
  <pageMargins left="0.7" right="0.7" top="0.75" bottom="0.75" header="0.3" footer="0.3"/>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5D81-653C-41B6-AE88-2F809B6300ED}">
  <dimension ref="B13:J45"/>
  <sheetViews>
    <sheetView showGridLines="0" zoomScale="90" zoomScaleNormal="90" workbookViewId="0">
      <selection activeCell="P45" sqref="P45"/>
    </sheetView>
  </sheetViews>
  <sheetFormatPr defaultRowHeight="13.8" x14ac:dyDescent="0.25"/>
  <cols>
    <col min="1" max="1" width="59.09765625" bestFit="1" customWidth="1"/>
    <col min="2" max="2" width="8" bestFit="1" customWidth="1"/>
    <col min="3" max="3" width="8.69921875" bestFit="1" customWidth="1"/>
    <col min="4" max="4" width="9.19921875" bestFit="1" customWidth="1"/>
    <col min="5" max="5" width="17.796875" bestFit="1" customWidth="1"/>
    <col min="6" max="6" width="24.5" customWidth="1"/>
    <col min="7" max="7" width="50" customWidth="1"/>
    <col min="8" max="8" width="7.3984375" bestFit="1" customWidth="1"/>
    <col min="9" max="9" width="8.5" bestFit="1" customWidth="1"/>
    <col min="10" max="10" width="9.3984375" bestFit="1" customWidth="1"/>
    <col min="13" max="13" width="19.69921875" bestFit="1" customWidth="1"/>
    <col min="14" max="14" width="7.3984375" bestFit="1" customWidth="1"/>
    <col min="15" max="15" width="8.5" bestFit="1" customWidth="1"/>
  </cols>
  <sheetData>
    <row r="13" spans="7:10" ht="15" x14ac:dyDescent="0.25">
      <c r="G13" s="27"/>
    </row>
    <row r="14" spans="7:10" ht="15" x14ac:dyDescent="0.25">
      <c r="G14" s="26" t="s">
        <v>147</v>
      </c>
      <c r="H14" s="27" t="s">
        <v>144</v>
      </c>
      <c r="I14" s="27" t="s">
        <v>145</v>
      </c>
      <c r="J14" s="27" t="s">
        <v>146</v>
      </c>
    </row>
    <row r="15" spans="7:10" ht="15" x14ac:dyDescent="0.25">
      <c r="G15" s="28" t="s">
        <v>24</v>
      </c>
      <c r="H15" s="29">
        <v>4.7</v>
      </c>
      <c r="I15" s="29">
        <v>39</v>
      </c>
      <c r="J15" s="30">
        <v>0.34</v>
      </c>
    </row>
    <row r="16" spans="7:10" ht="15" x14ac:dyDescent="0.25">
      <c r="G16" s="28" t="s">
        <v>77</v>
      </c>
      <c r="H16" s="29">
        <v>2.8</v>
      </c>
      <c r="I16" s="29">
        <v>69</v>
      </c>
      <c r="J16" s="30">
        <v>0.49</v>
      </c>
    </row>
    <row r="17" spans="2:10" ht="15" x14ac:dyDescent="0.25">
      <c r="G17" s="28" t="s">
        <v>19</v>
      </c>
      <c r="H17" s="29">
        <v>4.5999999999999996</v>
      </c>
      <c r="I17" s="29">
        <v>55</v>
      </c>
      <c r="J17" s="30">
        <v>0.24</v>
      </c>
    </row>
    <row r="18" spans="2:10" ht="15" x14ac:dyDescent="0.25">
      <c r="G18" s="28" t="s">
        <v>32</v>
      </c>
      <c r="H18" s="29">
        <v>4.5999999999999996</v>
      </c>
      <c r="I18" s="29">
        <v>44</v>
      </c>
      <c r="J18" s="30">
        <v>0.49</v>
      </c>
    </row>
    <row r="19" spans="2:10" ht="15" x14ac:dyDescent="0.25">
      <c r="G19" s="28" t="s">
        <v>42</v>
      </c>
      <c r="H19" s="29">
        <v>4.0999999999999996</v>
      </c>
      <c r="I19" s="29">
        <v>20</v>
      </c>
      <c r="J19" s="30">
        <v>0.3</v>
      </c>
    </row>
    <row r="20" spans="2:10" ht="15" x14ac:dyDescent="0.25">
      <c r="G20" s="28" t="s">
        <v>48</v>
      </c>
      <c r="H20" s="29">
        <v>4.5</v>
      </c>
      <c r="I20" s="29">
        <v>32</v>
      </c>
      <c r="J20" s="30">
        <v>0.27</v>
      </c>
    </row>
    <row r="21" spans="2:10" ht="15" x14ac:dyDescent="0.25">
      <c r="G21" s="28" t="s">
        <v>47</v>
      </c>
      <c r="H21" s="29">
        <v>4.7</v>
      </c>
      <c r="I21" s="29">
        <v>20</v>
      </c>
      <c r="J21" s="30">
        <v>0.27</v>
      </c>
    </row>
    <row r="22" spans="2:10" ht="15" x14ac:dyDescent="0.25">
      <c r="G22" s="28" t="s">
        <v>39</v>
      </c>
      <c r="H22" s="29">
        <v>4.5999999999999996</v>
      </c>
      <c r="I22" s="29">
        <v>49</v>
      </c>
      <c r="J22" s="30">
        <v>0.35</v>
      </c>
    </row>
    <row r="23" spans="2:10" ht="15" x14ac:dyDescent="0.25">
      <c r="G23" s="28" t="s">
        <v>15</v>
      </c>
      <c r="H23" s="29">
        <v>4.5999999999999996</v>
      </c>
      <c r="I23" s="29">
        <v>24</v>
      </c>
      <c r="J23" s="30">
        <v>0.25</v>
      </c>
    </row>
    <row r="24" spans="2:10" ht="15" x14ac:dyDescent="0.25">
      <c r="G24" s="28" t="s">
        <v>51</v>
      </c>
      <c r="H24" s="29">
        <v>4.3</v>
      </c>
      <c r="I24" s="29">
        <v>36</v>
      </c>
      <c r="J24" s="30">
        <v>0.41</v>
      </c>
    </row>
    <row r="25" spans="2:10" ht="15" x14ac:dyDescent="0.25">
      <c r="G25" s="28" t="s">
        <v>142</v>
      </c>
      <c r="H25" s="29">
        <v>4.3499999999999996</v>
      </c>
      <c r="I25" s="29">
        <v>388</v>
      </c>
      <c r="J25" s="30">
        <v>0.34100000000000003</v>
      </c>
    </row>
    <row r="28" spans="2:10" x14ac:dyDescent="0.25">
      <c r="B28" s="12"/>
    </row>
    <row r="41" spans="7:9" ht="15" x14ac:dyDescent="0.25">
      <c r="G41" s="26" t="s">
        <v>8</v>
      </c>
      <c r="H41" s="27" t="s">
        <v>149</v>
      </c>
      <c r="I41" s="27" t="s">
        <v>150</v>
      </c>
    </row>
    <row r="42" spans="7:9" ht="15" x14ac:dyDescent="0.25">
      <c r="G42" s="28" t="s">
        <v>14</v>
      </c>
      <c r="H42" s="31">
        <v>3.6133333333333328</v>
      </c>
      <c r="I42" s="31">
        <v>11.133333333333333</v>
      </c>
    </row>
    <row r="43" spans="7:9" ht="15" x14ac:dyDescent="0.25">
      <c r="G43" s="28" t="s">
        <v>11</v>
      </c>
      <c r="H43" s="31">
        <v>4.2875000000000005</v>
      </c>
      <c r="I43" s="31">
        <v>14.708333333333334</v>
      </c>
    </row>
    <row r="44" spans="7:9" ht="15" x14ac:dyDescent="0.25">
      <c r="G44" s="28" t="s">
        <v>143</v>
      </c>
      <c r="H44" s="31">
        <v>3.7250000000000001</v>
      </c>
      <c r="I44" s="31">
        <v>9.5</v>
      </c>
    </row>
    <row r="45" spans="7:9" ht="15" x14ac:dyDescent="0.25">
      <c r="G45" s="28" t="s">
        <v>142</v>
      </c>
      <c r="H45" s="29">
        <v>3.8999999999999995</v>
      </c>
      <c r="I45" s="29">
        <v>12.5</v>
      </c>
    </row>
  </sheetData>
  <phoneticPr fontId="21" type="noConversion"/>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Excel_jumia_dataset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solomon Mugambi</cp:lastModifiedBy>
  <dcterms:created xsi:type="dcterms:W3CDTF">2026-06-11T12:53:17Z</dcterms:created>
  <dcterms:modified xsi:type="dcterms:W3CDTF">2026-06-12T14:39:28Z</dcterms:modified>
</cp:coreProperties>
</file>